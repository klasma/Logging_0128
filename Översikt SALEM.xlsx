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9148-2020</t>
        </is>
      </c>
      <c r="B2" s="1" t="n">
        <v>43879</v>
      </c>
      <c r="C2" s="1" t="n">
        <v>45361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2.1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Granticka
Kandelabersvamp
Bronshjon
Fjällig taggsvamp s.str.
Grovticka
Grön sköldmossa
Hasselticka
Skarp dropptaggsvamp</t>
        </is>
      </c>
      <c r="S2">
        <f>HYPERLINK("https://klasma.github.io/Logging_0128/artfynd/A 9148-2020 artfynd.xlsx", "A 9148-2020")</f>
        <v/>
      </c>
      <c r="T2">
        <f>HYPERLINK("https://klasma.github.io/Logging_0128/kartor/A 9148-2020 karta.png", "A 9148-2020")</f>
        <v/>
      </c>
      <c r="V2">
        <f>HYPERLINK("https://klasma.github.io/Logging_0128/klagomål/A 9148-2020 FSC-klagomål.docx", "A 9148-2020")</f>
        <v/>
      </c>
      <c r="W2">
        <f>HYPERLINK("https://klasma.github.io/Logging_0128/klagomålsmail/A 9148-2020 FSC-klagomål mail.docx", "A 9148-2020")</f>
        <v/>
      </c>
      <c r="X2">
        <f>HYPERLINK("https://klasma.github.io/Logging_0128/tillsyn/A 9148-2020 tillsynsbegäran.docx", "A 9148-2020")</f>
        <v/>
      </c>
      <c r="Y2">
        <f>HYPERLINK("https://klasma.github.io/Logging_0128/tillsynsmail/A 9148-2020 tillsynsbegäran mail.docx", "A 9148-2020")</f>
        <v/>
      </c>
    </row>
    <row r="3" ht="15" customHeight="1">
      <c r="A3" t="inlineStr">
        <is>
          <t>A 25533-2023</t>
        </is>
      </c>
      <c r="B3" s="1" t="n">
        <v>45089</v>
      </c>
      <c r="C3" s="1" t="n">
        <v>45361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7.6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Tallticka
Vintertagging
Brandticka
Dropptaggsvamp
Granbarkgnagare
Jättesvampmal</t>
        </is>
      </c>
      <c r="S3">
        <f>HYPERLINK("https://klasma.github.io/Logging_0128/artfynd/A 25533-2023 artfynd.xlsx", "A 25533-2023")</f>
        <v/>
      </c>
      <c r="T3">
        <f>HYPERLINK("https://klasma.github.io/Logging_0128/kartor/A 25533-2023 karta.png", "A 25533-2023")</f>
        <v/>
      </c>
      <c r="V3">
        <f>HYPERLINK("https://klasma.github.io/Logging_0128/klagomål/A 25533-2023 FSC-klagomål.docx", "A 25533-2023")</f>
        <v/>
      </c>
      <c r="W3">
        <f>HYPERLINK("https://klasma.github.io/Logging_0128/klagomålsmail/A 25533-2023 FSC-klagomål mail.docx", "A 25533-2023")</f>
        <v/>
      </c>
      <c r="X3">
        <f>HYPERLINK("https://klasma.github.io/Logging_0128/tillsyn/A 25533-2023 tillsynsbegäran.docx", "A 25533-2023")</f>
        <v/>
      </c>
      <c r="Y3">
        <f>HYPERLINK("https://klasma.github.io/Logging_0128/tillsynsmail/A 25533-2023 tillsynsbegäran mail.docx", "A 25533-2023")</f>
        <v/>
      </c>
    </row>
    <row r="4" ht="15" customHeight="1">
      <c r="A4" t="inlineStr">
        <is>
          <t>A 9538-2024</t>
        </is>
      </c>
      <c r="B4" s="1" t="n">
        <v>45359</v>
      </c>
      <c r="C4" s="1" t="n">
        <v>45361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14</v>
      </c>
      <c r="H4" t="n">
        <v>0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Vågticka
Fyrflikig jordstjärna
Gultoppig fingersvamp
Motaggsvamp
Brandticka
Bronshjon</t>
        </is>
      </c>
      <c r="S4">
        <f>HYPERLINK("https://klasma.github.io/Logging_0128/artfynd/A 9538-2024 artfynd.xlsx", "A 9538-2024")</f>
        <v/>
      </c>
      <c r="T4">
        <f>HYPERLINK("https://klasma.github.io/Logging_0128/kartor/A 9538-2024 karta.png", "A 9538-2024")</f>
        <v/>
      </c>
      <c r="V4">
        <f>HYPERLINK("https://klasma.github.io/Logging_0128/klagomål/A 9538-2024 FSC-klagomål.docx", "A 9538-2024")</f>
        <v/>
      </c>
      <c r="W4">
        <f>HYPERLINK("https://klasma.github.io/Logging_0128/klagomålsmail/A 9538-2024 FSC-klagomål mail.docx", "A 9538-2024")</f>
        <v/>
      </c>
      <c r="X4">
        <f>HYPERLINK("https://klasma.github.io/Logging_0128/tillsyn/A 9538-2024 tillsynsbegäran.docx", "A 9538-2024")</f>
        <v/>
      </c>
      <c r="Y4">
        <f>HYPERLINK("https://klasma.github.io/Logging_0128/tillsynsmail/A 9538-2024 tillsynsbegäran mail.docx", "A 9538-2024")</f>
        <v/>
      </c>
    </row>
    <row r="5" ht="15" customHeight="1">
      <c r="A5" t="inlineStr">
        <is>
          <t>A 35421-2023</t>
        </is>
      </c>
      <c r="B5" s="1" t="n">
        <v>45146</v>
      </c>
      <c r="C5" s="1" t="n">
        <v>45361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Dropptaggsvamp
Granbarkgnagare
Grovticka</t>
        </is>
      </c>
      <c r="S5">
        <f>HYPERLINK("https://klasma.github.io/Logging_0128/artfynd/A 35421-2023 artfynd.xlsx", "A 35421-2023")</f>
        <v/>
      </c>
      <c r="T5">
        <f>HYPERLINK("https://klasma.github.io/Logging_0128/kartor/A 35421-2023 karta.png", "A 35421-2023")</f>
        <v/>
      </c>
      <c r="V5">
        <f>HYPERLINK("https://klasma.github.io/Logging_0128/klagomål/A 35421-2023 FSC-klagomål.docx", "A 35421-2023")</f>
        <v/>
      </c>
      <c r="W5">
        <f>HYPERLINK("https://klasma.github.io/Logging_0128/klagomålsmail/A 35421-2023 FSC-klagomål mail.docx", "A 35421-2023")</f>
        <v/>
      </c>
      <c r="X5">
        <f>HYPERLINK("https://klasma.github.io/Logging_0128/tillsyn/A 35421-2023 tillsynsbegäran.docx", "A 35421-2023")</f>
        <v/>
      </c>
      <c r="Y5">
        <f>HYPERLINK("https://klasma.github.io/Logging_0128/tillsynsmail/A 35421-2023 tillsynsbegäran mail.docx", "A 35421-2023")</f>
        <v/>
      </c>
    </row>
    <row r="6" ht="15" customHeight="1">
      <c r="A6" t="inlineStr">
        <is>
          <t>A 61302-2022</t>
        </is>
      </c>
      <c r="B6" s="1" t="n">
        <v>44915</v>
      </c>
      <c r="C6" s="1" t="n">
        <v>45361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14.8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Trådticka
Zontaggsvamp</t>
        </is>
      </c>
      <c r="S6">
        <f>HYPERLINK("https://klasma.github.io/Logging_0128/artfynd/A 61302-2022 artfynd.xlsx", "A 61302-2022")</f>
        <v/>
      </c>
      <c r="T6">
        <f>HYPERLINK("https://klasma.github.io/Logging_0128/kartor/A 61302-2022 karta.png", "A 61302-2022")</f>
        <v/>
      </c>
      <c r="V6">
        <f>HYPERLINK("https://klasma.github.io/Logging_0128/klagomål/A 61302-2022 FSC-klagomål.docx", "A 61302-2022")</f>
        <v/>
      </c>
      <c r="W6">
        <f>HYPERLINK("https://klasma.github.io/Logging_0128/klagomålsmail/A 61302-2022 FSC-klagomål mail.docx", "A 61302-2022")</f>
        <v/>
      </c>
      <c r="X6">
        <f>HYPERLINK("https://klasma.github.io/Logging_0128/tillsyn/A 61302-2022 tillsynsbegäran.docx", "A 61302-2022")</f>
        <v/>
      </c>
      <c r="Y6">
        <f>HYPERLINK("https://klasma.github.io/Logging_0128/tillsynsmail/A 61302-2022 tillsynsbegäran mail.docx", "A 61302-2022")</f>
        <v/>
      </c>
    </row>
    <row r="7" ht="15" customHeight="1">
      <c r="A7" t="inlineStr">
        <is>
          <t>A 2992-2023</t>
        </is>
      </c>
      <c r="B7" s="1" t="n">
        <v>44945</v>
      </c>
      <c r="C7" s="1" t="n">
        <v>45361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Rynkskinn
Blåmossa</t>
        </is>
      </c>
      <c r="S7">
        <f>HYPERLINK("https://klasma.github.io/Logging_0128/artfynd/A 2992-2023 artfynd.xlsx", "A 2992-2023")</f>
        <v/>
      </c>
      <c r="T7">
        <f>HYPERLINK("https://klasma.github.io/Logging_0128/kartor/A 2992-2023 karta.png", "A 2992-2023")</f>
        <v/>
      </c>
      <c r="V7">
        <f>HYPERLINK("https://klasma.github.io/Logging_0128/klagomål/A 2992-2023 FSC-klagomål.docx", "A 2992-2023")</f>
        <v/>
      </c>
      <c r="W7">
        <f>HYPERLINK("https://klasma.github.io/Logging_0128/klagomålsmail/A 2992-2023 FSC-klagomål mail.docx", "A 2992-2023")</f>
        <v/>
      </c>
      <c r="X7">
        <f>HYPERLINK("https://klasma.github.io/Logging_0128/tillsyn/A 2992-2023 tillsynsbegäran.docx", "A 2992-2023")</f>
        <v/>
      </c>
      <c r="Y7">
        <f>HYPERLINK("https://klasma.github.io/Logging_0128/tillsynsmail/A 2992-2023 tillsynsbegäran mail.docx", "A 2992-2023")</f>
        <v/>
      </c>
    </row>
    <row r="8" ht="15" customHeight="1">
      <c r="A8" t="inlineStr">
        <is>
          <t>A 52009-2019</t>
        </is>
      </c>
      <c r="B8" s="1" t="n">
        <v>43742</v>
      </c>
      <c r="C8" s="1" t="n">
        <v>45361</v>
      </c>
      <c r="D8" t="inlineStr">
        <is>
          <t>STOCKHOLMS LÄN</t>
        </is>
      </c>
      <c r="E8" t="inlineStr">
        <is>
          <t>SALEM</t>
        </is>
      </c>
      <c r="G8" t="n">
        <v>16.9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HYPERLINK("https://klasma.github.io/Logging_0128/artfynd/A 52009-2019 artfynd.xlsx", "A 52009-2019")</f>
        <v/>
      </c>
      <c r="T8">
        <f>HYPERLINK("https://klasma.github.io/Logging_0128/kartor/A 52009-2019 karta.png", "A 52009-2019")</f>
        <v/>
      </c>
      <c r="V8">
        <f>HYPERLINK("https://klasma.github.io/Logging_0128/klagomål/A 52009-2019 FSC-klagomål.docx", "A 52009-2019")</f>
        <v/>
      </c>
      <c r="W8">
        <f>HYPERLINK("https://klasma.github.io/Logging_0128/klagomålsmail/A 52009-2019 FSC-klagomål mail.docx", "A 52009-2019")</f>
        <v/>
      </c>
      <c r="X8">
        <f>HYPERLINK("https://klasma.github.io/Logging_0128/tillsyn/A 52009-2019 tillsynsbegäran.docx", "A 52009-2019")</f>
        <v/>
      </c>
      <c r="Y8">
        <f>HYPERLINK("https://klasma.github.io/Logging_0128/tillsynsmail/A 52009-2019 tillsynsbegäran mail.docx", "A 52009-2019")</f>
        <v/>
      </c>
    </row>
    <row r="9" ht="15" customHeight="1">
      <c r="A9" t="inlineStr">
        <is>
          <t>A 16917-2020</t>
        </is>
      </c>
      <c r="B9" s="1" t="n">
        <v>43921</v>
      </c>
      <c r="C9" s="1" t="n">
        <v>45361</v>
      </c>
      <c r="D9" t="inlineStr">
        <is>
          <t>STOCKHOLMS LÄN</t>
        </is>
      </c>
      <c r="E9" t="inlineStr">
        <is>
          <t>SALEM</t>
        </is>
      </c>
      <c r="G9" t="n">
        <v>23.8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HYPERLINK("https://klasma.github.io/Logging_0128/artfynd/A 16917-2020 artfynd.xlsx", "A 16917-2020")</f>
        <v/>
      </c>
      <c r="T9">
        <f>HYPERLINK("https://klasma.github.io/Logging_0128/kartor/A 16917-2020 karta.png", "A 16917-2020")</f>
        <v/>
      </c>
      <c r="V9">
        <f>HYPERLINK("https://klasma.github.io/Logging_0128/klagomål/A 16917-2020 FSC-klagomål.docx", "A 16917-2020")</f>
        <v/>
      </c>
      <c r="W9">
        <f>HYPERLINK("https://klasma.github.io/Logging_0128/klagomålsmail/A 16917-2020 FSC-klagomål mail.docx", "A 16917-2020")</f>
        <v/>
      </c>
      <c r="X9">
        <f>HYPERLINK("https://klasma.github.io/Logging_0128/tillsyn/A 16917-2020 tillsynsbegäran.docx", "A 16917-2020")</f>
        <v/>
      </c>
      <c r="Y9">
        <f>HYPERLINK("https://klasma.github.io/Logging_0128/tillsynsmail/A 16917-2020 tillsynsbegäran mail.docx", "A 16917-2020")</f>
        <v/>
      </c>
      <c r="Z9">
        <f>HYPERLINK("https://klasma.github.io/Logging_0128/fåglar/A 16917-2020 prioriterade fågelarter.docx", "A 16917-2020")</f>
        <v/>
      </c>
    </row>
    <row r="10" ht="15" customHeight="1">
      <c r="A10" t="inlineStr">
        <is>
          <t>A 41774-2020</t>
        </is>
      </c>
      <c r="B10" s="1" t="n">
        <v>44074</v>
      </c>
      <c r="C10" s="1" t="n">
        <v>45361</v>
      </c>
      <c r="D10" t="inlineStr">
        <is>
          <t>STOCKHOLMS LÄN</t>
        </is>
      </c>
      <c r="E10" t="inlineStr">
        <is>
          <t>SALEM</t>
        </is>
      </c>
      <c r="F10" t="inlineStr">
        <is>
          <t>Kommuner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HYPERLINK("https://klasma.github.io/Logging_0128/artfynd/A 41774-2020 artfynd.xlsx", "A 41774-2020")</f>
        <v/>
      </c>
      <c r="T10">
        <f>HYPERLINK("https://klasma.github.io/Logging_0128/kartor/A 41774-2020 karta.png", "A 41774-2020")</f>
        <v/>
      </c>
      <c r="V10">
        <f>HYPERLINK("https://klasma.github.io/Logging_0128/klagomål/A 41774-2020 FSC-klagomål.docx", "A 41774-2020")</f>
        <v/>
      </c>
      <c r="W10">
        <f>HYPERLINK("https://klasma.github.io/Logging_0128/klagomålsmail/A 41774-2020 FSC-klagomål mail.docx", "A 41774-2020")</f>
        <v/>
      </c>
      <c r="X10">
        <f>HYPERLINK("https://klasma.github.io/Logging_0128/tillsyn/A 41774-2020 tillsynsbegäran.docx", "A 41774-2020")</f>
        <v/>
      </c>
      <c r="Y10">
        <f>HYPERLINK("https://klasma.github.io/Logging_0128/tillsynsmail/A 41774-2020 tillsynsbegäran mail.docx", "A 41774-2020")</f>
        <v/>
      </c>
    </row>
    <row r="11" ht="15" customHeight="1">
      <c r="A11" t="inlineStr">
        <is>
          <t>A 2987-2023</t>
        </is>
      </c>
      <c r="B11" s="1" t="n">
        <v>44945</v>
      </c>
      <c r="C11" s="1" t="n">
        <v>45361</v>
      </c>
      <c r="D11" t="inlineStr">
        <is>
          <t>STOCKHOLMS LÄN</t>
        </is>
      </c>
      <c r="E11" t="inlineStr">
        <is>
          <t>SALEM</t>
        </is>
      </c>
      <c r="F11" t="inlineStr">
        <is>
          <t>Kommuner</t>
        </is>
      </c>
      <c r="G11" t="n">
        <v>6.2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HYPERLINK("https://klasma.github.io/Logging_0128/artfynd/A 2987-2023 artfynd.xlsx", "A 2987-2023")</f>
        <v/>
      </c>
      <c r="T11">
        <f>HYPERLINK("https://klasma.github.io/Logging_0128/kartor/A 2987-2023 karta.png", "A 2987-2023")</f>
        <v/>
      </c>
      <c r="V11">
        <f>HYPERLINK("https://klasma.github.io/Logging_0128/klagomål/A 2987-2023 FSC-klagomål.docx", "A 2987-2023")</f>
        <v/>
      </c>
      <c r="W11">
        <f>HYPERLINK("https://klasma.github.io/Logging_0128/klagomålsmail/A 2987-2023 FSC-klagomål mail.docx", "A 2987-2023")</f>
        <v/>
      </c>
      <c r="X11">
        <f>HYPERLINK("https://klasma.github.io/Logging_0128/tillsyn/A 2987-2023 tillsynsbegäran.docx", "A 2987-2023")</f>
        <v/>
      </c>
      <c r="Y11">
        <f>HYPERLINK("https://klasma.github.io/Logging_0128/tillsynsmail/A 2987-2023 tillsynsbegäran mail.docx", "A 2987-2023")</f>
        <v/>
      </c>
    </row>
    <row r="12" ht="15" customHeight="1">
      <c r="A12" t="inlineStr">
        <is>
          <t>A 23823-2023</t>
        </is>
      </c>
      <c r="B12" s="1" t="n">
        <v>45078</v>
      </c>
      <c r="C12" s="1" t="n">
        <v>45361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HYPERLINK("https://klasma.github.io/Logging_0128/artfynd/A 23823-2023 artfynd.xlsx", "A 23823-2023")</f>
        <v/>
      </c>
      <c r="T12">
        <f>HYPERLINK("https://klasma.github.io/Logging_0128/kartor/A 23823-2023 karta.png", "A 23823-2023")</f>
        <v/>
      </c>
      <c r="V12">
        <f>HYPERLINK("https://klasma.github.io/Logging_0128/klagomål/A 23823-2023 FSC-klagomål.docx", "A 23823-2023")</f>
        <v/>
      </c>
      <c r="W12">
        <f>HYPERLINK("https://klasma.github.io/Logging_0128/klagomålsmail/A 23823-2023 FSC-klagomål mail.docx", "A 23823-2023")</f>
        <v/>
      </c>
      <c r="X12">
        <f>HYPERLINK("https://klasma.github.io/Logging_0128/tillsyn/A 23823-2023 tillsynsbegäran.docx", "A 23823-2023")</f>
        <v/>
      </c>
      <c r="Y12">
        <f>HYPERLINK("https://klasma.github.io/Logging_0128/tillsynsmail/A 23823-2023 tillsynsbegäran mail.docx", "A 23823-2023")</f>
        <v/>
      </c>
    </row>
    <row r="13" ht="15" customHeight="1">
      <c r="A13" t="inlineStr">
        <is>
          <t>A 59368-2018</t>
        </is>
      </c>
      <c r="B13" s="1" t="n">
        <v>43418</v>
      </c>
      <c r="C13" s="1" t="n">
        <v>45361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7.4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7812-2020</t>
        </is>
      </c>
      <c r="B14" s="1" t="n">
        <v>43873</v>
      </c>
      <c r="C14" s="1" t="n">
        <v>45361</v>
      </c>
      <c r="D14" t="inlineStr">
        <is>
          <t>STOCKHOLMS LÄN</t>
        </is>
      </c>
      <c r="E14" t="inlineStr">
        <is>
          <t>SALEM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7820-2020</t>
        </is>
      </c>
      <c r="B15" s="1" t="n">
        <v>43873</v>
      </c>
      <c r="C15" s="1" t="n">
        <v>45361</v>
      </c>
      <c r="D15" t="inlineStr">
        <is>
          <t>STOCKHOLMS LÄN</t>
        </is>
      </c>
      <c r="E15" t="inlineStr">
        <is>
          <t>SALEM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9109-2020</t>
        </is>
      </c>
      <c r="B16" s="1" t="n">
        <v>43879</v>
      </c>
      <c r="C16" s="1" t="n">
        <v>45361</v>
      </c>
      <c r="D16" t="inlineStr">
        <is>
          <t>STOCKHOLMS LÄN</t>
        </is>
      </c>
      <c r="E16" t="inlineStr">
        <is>
          <t>SALEM</t>
        </is>
      </c>
      <c r="F16" t="inlineStr">
        <is>
          <t>Kommuner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9116-2020</t>
        </is>
      </c>
      <c r="B17" s="1" t="n">
        <v>43879</v>
      </c>
      <c r="C17" s="1" t="n">
        <v>45361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18821-2020</t>
        </is>
      </c>
      <c r="B18" s="1" t="n">
        <v>43935</v>
      </c>
      <c r="C18" s="1" t="n">
        <v>45361</v>
      </c>
      <c r="D18" t="inlineStr">
        <is>
          <t>STOCKHOLMS LÄN</t>
        </is>
      </c>
      <c r="E18" t="inlineStr">
        <is>
          <t>SALEM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41718-2020</t>
        </is>
      </c>
      <c r="B19" s="1" t="n">
        <v>44074</v>
      </c>
      <c r="C19" s="1" t="n">
        <v>45361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41923-2020</t>
        </is>
      </c>
      <c r="B20" s="1" t="n">
        <v>44075</v>
      </c>
      <c r="C20" s="1" t="n">
        <v>45361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45158-2020</t>
        </is>
      </c>
      <c r="B21" s="1" t="n">
        <v>44088</v>
      </c>
      <c r="C21" s="1" t="n">
        <v>45361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65916-2020</t>
        </is>
      </c>
      <c r="B22" s="1" t="n">
        <v>44175</v>
      </c>
      <c r="C22" s="1" t="n">
        <v>45361</v>
      </c>
      <c r="D22" t="inlineStr">
        <is>
          <t>STOCKHOLMS LÄN</t>
        </is>
      </c>
      <c r="E22" t="inlineStr">
        <is>
          <t>SALEM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12874-2021</t>
        </is>
      </c>
      <c r="B23" s="1" t="n">
        <v>44271</v>
      </c>
      <c r="C23" s="1" t="n">
        <v>45361</v>
      </c>
      <c r="D23" t="inlineStr">
        <is>
          <t>STOCKHOLMS LÄN</t>
        </is>
      </c>
      <c r="E23" t="inlineStr">
        <is>
          <t>SALEM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13351-2021</t>
        </is>
      </c>
      <c r="B24" s="1" t="n">
        <v>44273</v>
      </c>
      <c r="C24" s="1" t="n">
        <v>45361</v>
      </c>
      <c r="D24" t="inlineStr">
        <is>
          <t>STOCKHOLMS LÄN</t>
        </is>
      </c>
      <c r="E24" t="inlineStr">
        <is>
          <t>SALEM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28838-2021</t>
        </is>
      </c>
      <c r="B25" s="1" t="n">
        <v>44357</v>
      </c>
      <c r="C25" s="1" t="n">
        <v>45361</v>
      </c>
      <c r="D25" t="inlineStr">
        <is>
          <t>STOCKHOLMS LÄN</t>
        </is>
      </c>
      <c r="E25" t="inlineStr">
        <is>
          <t>SALEM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28843-2021</t>
        </is>
      </c>
      <c r="B26" s="1" t="n">
        <v>44357</v>
      </c>
      <c r="C26" s="1" t="n">
        <v>45361</v>
      </c>
      <c r="D26" t="inlineStr">
        <is>
          <t>STOCKHOLMS LÄN</t>
        </is>
      </c>
      <c r="E26" t="inlineStr">
        <is>
          <t>SALEM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33246-2021</t>
        </is>
      </c>
      <c r="B27" s="1" t="n">
        <v>44377</v>
      </c>
      <c r="C27" s="1" t="n">
        <v>45361</v>
      </c>
      <c r="D27" t="inlineStr">
        <is>
          <t>STOCKHOLMS LÄN</t>
        </is>
      </c>
      <c r="E27" t="inlineStr">
        <is>
          <t>SALEM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33262-2021</t>
        </is>
      </c>
      <c r="B28" s="1" t="n">
        <v>44377</v>
      </c>
      <c r="C28" s="1" t="n">
        <v>45361</v>
      </c>
      <c r="D28" t="inlineStr">
        <is>
          <t>STOCKHOLMS LÄN</t>
        </is>
      </c>
      <c r="E28" t="inlineStr">
        <is>
          <t>SALEM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33729-2021</t>
        </is>
      </c>
      <c r="B29" s="1" t="n">
        <v>44378</v>
      </c>
      <c r="C29" s="1" t="n">
        <v>45361</v>
      </c>
      <c r="D29" t="inlineStr">
        <is>
          <t>STOCKHOLMS LÄN</t>
        </is>
      </c>
      <c r="E29" t="inlineStr">
        <is>
          <t>SALEM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43893-2021</t>
        </is>
      </c>
      <c r="B30" s="1" t="n">
        <v>44434</v>
      </c>
      <c r="C30" s="1" t="n">
        <v>45361</v>
      </c>
      <c r="D30" t="inlineStr">
        <is>
          <t>STOCKHOLMS LÄN</t>
        </is>
      </c>
      <c r="E30" t="inlineStr">
        <is>
          <t>SALEM</t>
        </is>
      </c>
      <c r="F30" t="inlineStr">
        <is>
          <t>Kommuner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50692-2021</t>
        </is>
      </c>
      <c r="B31" s="1" t="n">
        <v>44460</v>
      </c>
      <c r="C31" s="1" t="n">
        <v>45361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68700-2021</t>
        </is>
      </c>
      <c r="B32" s="1" t="n">
        <v>44529</v>
      </c>
      <c r="C32" s="1" t="n">
        <v>45361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61336-2022</t>
        </is>
      </c>
      <c r="B33" s="1" t="n">
        <v>44915</v>
      </c>
      <c r="C33" s="1" t="n">
        <v>45361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61305-2022</t>
        </is>
      </c>
      <c r="B34" s="1" t="n">
        <v>44915</v>
      </c>
      <c r="C34" s="1" t="n">
        <v>45361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504-2023</t>
        </is>
      </c>
      <c r="B35" s="1" t="n">
        <v>44930</v>
      </c>
      <c r="C35" s="1" t="n">
        <v>45361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1071-2023</t>
        </is>
      </c>
      <c r="B36" s="1" t="n">
        <v>44935</v>
      </c>
      <c r="C36" s="1" t="n">
        <v>45361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2990-2023</t>
        </is>
      </c>
      <c r="B37" s="1" t="n">
        <v>44945</v>
      </c>
      <c r="C37" s="1" t="n">
        <v>45361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23981-2023</t>
        </is>
      </c>
      <c r="B38" s="1" t="n">
        <v>45078</v>
      </c>
      <c r="C38" s="1" t="n">
        <v>45361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23992-2023</t>
        </is>
      </c>
      <c r="B39" s="1" t="n">
        <v>45078</v>
      </c>
      <c r="C39" s="1" t="n">
        <v>45361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26149-2023</t>
        </is>
      </c>
      <c r="B40" s="1" t="n">
        <v>45091</v>
      </c>
      <c r="C40" s="1" t="n">
        <v>45361</v>
      </c>
      <c r="D40" t="inlineStr">
        <is>
          <t>STOCKHOLMS LÄN</t>
        </is>
      </c>
      <c r="E40" t="inlineStr">
        <is>
          <t>SALEM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36467-2023</t>
        </is>
      </c>
      <c r="B41" s="1" t="n">
        <v>45152</v>
      </c>
      <c r="C41" s="1" t="n">
        <v>45361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40711-2023</t>
        </is>
      </c>
      <c r="B42" s="1" t="n">
        <v>45169</v>
      </c>
      <c r="C42" s="1" t="n">
        <v>45361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40717-2023</t>
        </is>
      </c>
      <c r="B43" s="1" t="n">
        <v>45169</v>
      </c>
      <c r="C43" s="1" t="n">
        <v>45361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43036-2023</t>
        </is>
      </c>
      <c r="B44" s="1" t="n">
        <v>45182</v>
      </c>
      <c r="C44" s="1" t="n">
        <v>45361</v>
      </c>
      <c r="D44" t="inlineStr">
        <is>
          <t>STOCKHOLMS LÄN</t>
        </is>
      </c>
      <c r="E44" t="inlineStr">
        <is>
          <t>SALEM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46348-2023</t>
        </is>
      </c>
      <c r="B45" s="1" t="n">
        <v>45197</v>
      </c>
      <c r="C45" s="1" t="n">
        <v>45361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46919-2023</t>
        </is>
      </c>
      <c r="B46" s="1" t="n">
        <v>45201</v>
      </c>
      <c r="C46" s="1" t="n">
        <v>45361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51720-2023</t>
        </is>
      </c>
      <c r="B47" s="1" t="n">
        <v>45222</v>
      </c>
      <c r="C47" s="1" t="n">
        <v>45361</v>
      </c>
      <c r="D47" t="inlineStr">
        <is>
          <t>STOCKHOLMS LÄN</t>
        </is>
      </c>
      <c r="E47" t="inlineStr">
        <is>
          <t>SALEM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56966-2023</t>
        </is>
      </c>
      <c r="B48" s="1" t="n">
        <v>45244</v>
      </c>
      <c r="C48" s="1" t="n">
        <v>45361</v>
      </c>
      <c r="D48" t="inlineStr">
        <is>
          <t>STOCKHOLMS LÄN</t>
        </is>
      </c>
      <c r="E48" t="inlineStr">
        <is>
          <t>SALEM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58592-2023</t>
        </is>
      </c>
      <c r="B49" s="1" t="n">
        <v>45251</v>
      </c>
      <c r="C49" s="1" t="n">
        <v>45361</v>
      </c>
      <c r="D49" t="inlineStr">
        <is>
          <t>STOCKHOLMS LÄN</t>
        </is>
      </c>
      <c r="E49" t="inlineStr">
        <is>
          <t>SALEM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8300-2024</t>
        </is>
      </c>
      <c r="B50" s="1" t="n">
        <v>45352</v>
      </c>
      <c r="C50" s="1" t="n">
        <v>45361</v>
      </c>
      <c r="D50" t="inlineStr">
        <is>
          <t>STOCKHOLMS LÄN</t>
        </is>
      </c>
      <c r="E50" t="inlineStr">
        <is>
          <t>SALEM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9533-2024</t>
        </is>
      </c>
      <c r="B51" s="1" t="n">
        <v>45359</v>
      </c>
      <c r="C51" s="1" t="n">
        <v>45361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2024-03-10T17:27:16Z</dcterms:created>
  <dcterms:modified xmlns:dcterms="http://purl.org/dc/terms/" xmlns:xsi="http://www.w3.org/2001/XMLSchema-instance" xsi:type="dcterms:W3CDTF">2024-03-10T17:27:16Z</dcterms:modified>
</cp:coreProperties>
</file>