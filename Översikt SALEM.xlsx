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45917</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45917</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45917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45917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45917</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45917</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45917</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47262-2024</t>
        </is>
      </c>
      <c r="B11" s="1" t="n">
        <v>45586</v>
      </c>
      <c r="C11" s="1" t="n">
        <v>45917</v>
      </c>
      <c r="D11" t="inlineStr">
        <is>
          <t>STOCKHOLMS LÄN</t>
        </is>
      </c>
      <c r="E11" t="inlineStr">
        <is>
          <t>SALEM</t>
        </is>
      </c>
      <c r="G11" t="n">
        <v>2</v>
      </c>
      <c r="H11" t="n">
        <v>1</v>
      </c>
      <c r="I11" t="n">
        <v>0</v>
      </c>
      <c r="J11" t="n">
        <v>1</v>
      </c>
      <c r="K11" t="n">
        <v>0</v>
      </c>
      <c r="L11" t="n">
        <v>0</v>
      </c>
      <c r="M11" t="n">
        <v>0</v>
      </c>
      <c r="N11" t="n">
        <v>0</v>
      </c>
      <c r="O11" t="n">
        <v>1</v>
      </c>
      <c r="P11" t="n">
        <v>0</v>
      </c>
      <c r="Q11" t="n">
        <v>1</v>
      </c>
      <c r="R11" s="2" t="inlineStr">
        <is>
          <t>Spillkråka</t>
        </is>
      </c>
      <c r="S11">
        <f>HYPERLINK("https://klasma.github.io/Logging_0128/artfynd/A 47262-2024 artfynd.xlsx", "A 47262-2024")</f>
        <v/>
      </c>
      <c r="T11">
        <f>HYPERLINK("https://klasma.github.io/Logging_0128/kartor/A 47262-2024 karta.png", "A 47262-2024")</f>
        <v/>
      </c>
      <c r="V11">
        <f>HYPERLINK("https://klasma.github.io/Logging_0128/klagomål/A 47262-2024 FSC-klagomål.docx", "A 47262-2024")</f>
        <v/>
      </c>
      <c r="W11">
        <f>HYPERLINK("https://klasma.github.io/Logging_0128/klagomålsmail/A 47262-2024 FSC-klagomål mail.docx", "A 47262-2024")</f>
        <v/>
      </c>
      <c r="X11">
        <f>HYPERLINK("https://klasma.github.io/Logging_0128/tillsyn/A 47262-2024 tillsynsbegäran.docx", "A 47262-2024")</f>
        <v/>
      </c>
      <c r="Y11">
        <f>HYPERLINK("https://klasma.github.io/Logging_0128/tillsynsmail/A 47262-2024 tillsynsbegäran mail.docx", "A 47262-2024")</f>
        <v/>
      </c>
      <c r="Z11">
        <f>HYPERLINK("https://klasma.github.io/Logging_0128/fåglar/A 47262-2024 prioriterade fågelarter.docx", "A 47262-2024")</f>
        <v/>
      </c>
    </row>
    <row r="12" ht="15" customHeight="1">
      <c r="A12" t="inlineStr">
        <is>
          <t>A 28838-2021</t>
        </is>
      </c>
      <c r="B12" s="1" t="n">
        <v>44357</v>
      </c>
      <c r="C12" s="1" t="n">
        <v>45917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45917</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45917</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45917</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33281-2025</t>
        </is>
      </c>
      <c r="B16" s="1" t="n">
        <v>45839</v>
      </c>
      <c r="C16" s="1" t="n">
        <v>45917</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33428-2025</t>
        </is>
      </c>
      <c r="B17" s="1" t="n">
        <v>45839</v>
      </c>
      <c r="C17" s="1" t="n">
        <v>45917</v>
      </c>
      <c r="D17" t="inlineStr">
        <is>
          <t>STOCKHOLMS LÄN</t>
        </is>
      </c>
      <c r="E17" t="inlineStr">
        <is>
          <t>SALEM</t>
        </is>
      </c>
      <c r="G17" t="n">
        <v>2.2</v>
      </c>
      <c r="H17" t="n">
        <v>0</v>
      </c>
      <c r="I17" t="n">
        <v>0</v>
      </c>
      <c r="J17" t="n">
        <v>0</v>
      </c>
      <c r="K17" t="n">
        <v>0</v>
      </c>
      <c r="L17" t="n">
        <v>0</v>
      </c>
      <c r="M17" t="n">
        <v>0</v>
      </c>
      <c r="N17" t="n">
        <v>0</v>
      </c>
      <c r="O17" t="n">
        <v>0</v>
      </c>
      <c r="P17" t="n">
        <v>0</v>
      </c>
      <c r="Q17" t="n">
        <v>0</v>
      </c>
      <c r="R17" s="2" t="inlineStr"/>
    </row>
    <row r="18" ht="15" customHeight="1">
      <c r="A18" t="inlineStr">
        <is>
          <t>A 32946-2025</t>
        </is>
      </c>
      <c r="B18" s="1" t="n">
        <v>45839</v>
      </c>
      <c r="C18" s="1" t="n">
        <v>45917</v>
      </c>
      <c r="D18" t="inlineStr">
        <is>
          <t>STOCKHOLMS LÄN</t>
        </is>
      </c>
      <c r="E18" t="inlineStr">
        <is>
          <t>SALEM</t>
        </is>
      </c>
      <c r="G18" t="n">
        <v>1.6</v>
      </c>
      <c r="H18" t="n">
        <v>0</v>
      </c>
      <c r="I18" t="n">
        <v>0</v>
      </c>
      <c r="J18" t="n">
        <v>0</v>
      </c>
      <c r="K18" t="n">
        <v>0</v>
      </c>
      <c r="L18" t="n">
        <v>0</v>
      </c>
      <c r="M18" t="n">
        <v>0</v>
      </c>
      <c r="N18" t="n">
        <v>0</v>
      </c>
      <c r="O18" t="n">
        <v>0</v>
      </c>
      <c r="P18" t="n">
        <v>0</v>
      </c>
      <c r="Q18" t="n">
        <v>0</v>
      </c>
      <c r="R18" s="2" t="inlineStr"/>
    </row>
    <row r="19" ht="15" customHeight="1">
      <c r="A19" t="inlineStr">
        <is>
          <t>A 33277-2025</t>
        </is>
      </c>
      <c r="B19" s="1" t="n">
        <v>45839</v>
      </c>
      <c r="C19" s="1" t="n">
        <v>45917</v>
      </c>
      <c r="D19" t="inlineStr">
        <is>
          <t>STOCKHOLMS LÄN</t>
        </is>
      </c>
      <c r="E19" t="inlineStr">
        <is>
          <t>SALEM</t>
        </is>
      </c>
      <c r="G19" t="n">
        <v>2.4</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45917</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45917</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45917</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33446-2025</t>
        </is>
      </c>
      <c r="B23" s="1" t="n">
        <v>45839</v>
      </c>
      <c r="C23" s="1" t="n">
        <v>45917</v>
      </c>
      <c r="D23" t="inlineStr">
        <is>
          <t>STOCKHOLMS LÄN</t>
        </is>
      </c>
      <c r="E23" t="inlineStr">
        <is>
          <t>SALEM</t>
        </is>
      </c>
      <c r="G23" t="n">
        <v>9.4</v>
      </c>
      <c r="H23" t="n">
        <v>0</v>
      </c>
      <c r="I23" t="n">
        <v>0</v>
      </c>
      <c r="J23" t="n">
        <v>0</v>
      </c>
      <c r="K23" t="n">
        <v>0</v>
      </c>
      <c r="L23" t="n">
        <v>0</v>
      </c>
      <c r="M23" t="n">
        <v>0</v>
      </c>
      <c r="N23" t="n">
        <v>0</v>
      </c>
      <c r="O23" t="n">
        <v>0</v>
      </c>
      <c r="P23" t="n">
        <v>0</v>
      </c>
      <c r="Q23" t="n">
        <v>0</v>
      </c>
      <c r="R23" s="2" t="inlineStr"/>
    </row>
    <row r="24" ht="15" customHeight="1">
      <c r="A24" t="inlineStr">
        <is>
          <t>A 33421-2025</t>
        </is>
      </c>
      <c r="B24" s="1" t="n">
        <v>45839</v>
      </c>
      <c r="C24" s="1" t="n">
        <v>45917</v>
      </c>
      <c r="D24" t="inlineStr">
        <is>
          <t>STOCKHOLMS LÄN</t>
        </is>
      </c>
      <c r="E24" t="inlineStr">
        <is>
          <t>SALEM</t>
        </is>
      </c>
      <c r="G24" t="n">
        <v>1</v>
      </c>
      <c r="H24" t="n">
        <v>0</v>
      </c>
      <c r="I24" t="n">
        <v>0</v>
      </c>
      <c r="J24" t="n">
        <v>0</v>
      </c>
      <c r="K24" t="n">
        <v>0</v>
      </c>
      <c r="L24" t="n">
        <v>0</v>
      </c>
      <c r="M24" t="n">
        <v>0</v>
      </c>
      <c r="N24" t="n">
        <v>0</v>
      </c>
      <c r="O24" t="n">
        <v>0</v>
      </c>
      <c r="P24" t="n">
        <v>0</v>
      </c>
      <c r="Q24" t="n">
        <v>0</v>
      </c>
      <c r="R24" s="2" t="inlineStr"/>
    </row>
    <row r="25" ht="15" customHeight="1">
      <c r="A25" t="inlineStr">
        <is>
          <t>A 33029-2025</t>
        </is>
      </c>
      <c r="B25" s="1" t="n">
        <v>45839</v>
      </c>
      <c r="C25" s="1" t="n">
        <v>45917</v>
      </c>
      <c r="D25" t="inlineStr">
        <is>
          <t>STOCKHOLMS LÄN</t>
        </is>
      </c>
      <c r="E25" t="inlineStr">
        <is>
          <t>SALEM</t>
        </is>
      </c>
      <c r="G25" t="n">
        <v>1.5</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45917</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45917</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33441-2025</t>
        </is>
      </c>
      <c r="B28" s="1" t="n">
        <v>45839</v>
      </c>
      <c r="C28" s="1" t="n">
        <v>45917</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33470-2025</t>
        </is>
      </c>
      <c r="B29" s="1" t="n">
        <v>45839</v>
      </c>
      <c r="C29" s="1" t="n">
        <v>45917</v>
      </c>
      <c r="D29" t="inlineStr">
        <is>
          <t>STOCKHOLMS LÄN</t>
        </is>
      </c>
      <c r="E29" t="inlineStr">
        <is>
          <t>SALEM</t>
        </is>
      </c>
      <c r="G29" t="n">
        <v>2.1</v>
      </c>
      <c r="H29" t="n">
        <v>0</v>
      </c>
      <c r="I29" t="n">
        <v>0</v>
      </c>
      <c r="J29" t="n">
        <v>0</v>
      </c>
      <c r="K29" t="n">
        <v>0</v>
      </c>
      <c r="L29" t="n">
        <v>0</v>
      </c>
      <c r="M29" t="n">
        <v>0</v>
      </c>
      <c r="N29" t="n">
        <v>0</v>
      </c>
      <c r="O29" t="n">
        <v>0</v>
      </c>
      <c r="P29" t="n">
        <v>0</v>
      </c>
      <c r="Q29" t="n">
        <v>0</v>
      </c>
      <c r="R29" s="2" t="inlineStr"/>
    </row>
    <row r="30" ht="15" customHeight="1">
      <c r="A30" t="inlineStr">
        <is>
          <t>A 33473-2025</t>
        </is>
      </c>
      <c r="B30" s="1" t="n">
        <v>45839</v>
      </c>
      <c r="C30" s="1" t="n">
        <v>45917</v>
      </c>
      <c r="D30" t="inlineStr">
        <is>
          <t>STOCKHOLMS LÄN</t>
        </is>
      </c>
      <c r="E30" t="inlineStr">
        <is>
          <t>SALEM</t>
        </is>
      </c>
      <c r="G30" t="n">
        <v>5.7</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45917</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32962-2025</t>
        </is>
      </c>
      <c r="B32" s="1" t="n">
        <v>45839</v>
      </c>
      <c r="C32" s="1" t="n">
        <v>45917</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45917</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32965-2025</t>
        </is>
      </c>
      <c r="B34" s="1" t="n">
        <v>45839</v>
      </c>
      <c r="C34" s="1" t="n">
        <v>45917</v>
      </c>
      <c r="D34" t="inlineStr">
        <is>
          <t>STOCKHOLMS LÄN</t>
        </is>
      </c>
      <c r="E34" t="inlineStr">
        <is>
          <t>SALEM</t>
        </is>
      </c>
      <c r="G34" t="n">
        <v>2.8</v>
      </c>
      <c r="H34" t="n">
        <v>0</v>
      </c>
      <c r="I34" t="n">
        <v>0</v>
      </c>
      <c r="J34" t="n">
        <v>0</v>
      </c>
      <c r="K34" t="n">
        <v>0</v>
      </c>
      <c r="L34" t="n">
        <v>0</v>
      </c>
      <c r="M34" t="n">
        <v>0</v>
      </c>
      <c r="N34" t="n">
        <v>0</v>
      </c>
      <c r="O34" t="n">
        <v>0</v>
      </c>
      <c r="P34" t="n">
        <v>0</v>
      </c>
      <c r="Q34" t="n">
        <v>0</v>
      </c>
      <c r="R34" s="2" t="inlineStr"/>
    </row>
    <row r="35" ht="15" customHeight="1">
      <c r="A35" t="inlineStr">
        <is>
          <t>A 32970-2025</t>
        </is>
      </c>
      <c r="B35" s="1" t="n">
        <v>45839</v>
      </c>
      <c r="C35" s="1" t="n">
        <v>45917</v>
      </c>
      <c r="D35" t="inlineStr">
        <is>
          <t>STOCKHOLMS LÄN</t>
        </is>
      </c>
      <c r="E35" t="inlineStr">
        <is>
          <t>SALEM</t>
        </is>
      </c>
      <c r="G35" t="n">
        <v>10.5</v>
      </c>
      <c r="H35" t="n">
        <v>0</v>
      </c>
      <c r="I35" t="n">
        <v>0</v>
      </c>
      <c r="J35" t="n">
        <v>0</v>
      </c>
      <c r="K35" t="n">
        <v>0</v>
      </c>
      <c r="L35" t="n">
        <v>0</v>
      </c>
      <c r="M35" t="n">
        <v>0</v>
      </c>
      <c r="N35" t="n">
        <v>0</v>
      </c>
      <c r="O35" t="n">
        <v>0</v>
      </c>
      <c r="P35" t="n">
        <v>0</v>
      </c>
      <c r="Q35" t="n">
        <v>0</v>
      </c>
      <c r="R35" s="2" t="inlineStr"/>
    </row>
    <row r="36" ht="15" customHeight="1">
      <c r="A36" t="inlineStr">
        <is>
          <t>A 504-2023</t>
        </is>
      </c>
      <c r="B36" s="1" t="n">
        <v>44930</v>
      </c>
      <c r="C36" s="1" t="n">
        <v>45917</v>
      </c>
      <c r="D36" t="inlineStr">
        <is>
          <t>STOCKHOLMS LÄN</t>
        </is>
      </c>
      <c r="E36" t="inlineStr">
        <is>
          <t>SALEM</t>
        </is>
      </c>
      <c r="F36" t="inlineStr">
        <is>
          <t>Kommuner</t>
        </is>
      </c>
      <c r="G36" t="n">
        <v>2</v>
      </c>
      <c r="H36" t="n">
        <v>0</v>
      </c>
      <c r="I36" t="n">
        <v>0</v>
      </c>
      <c r="J36" t="n">
        <v>0</v>
      </c>
      <c r="K36" t="n">
        <v>0</v>
      </c>
      <c r="L36" t="n">
        <v>0</v>
      </c>
      <c r="M36" t="n">
        <v>0</v>
      </c>
      <c r="N36" t="n">
        <v>0</v>
      </c>
      <c r="O36" t="n">
        <v>0</v>
      </c>
      <c r="P36" t="n">
        <v>0</v>
      </c>
      <c r="Q36" t="n">
        <v>0</v>
      </c>
      <c r="R36" s="2" t="inlineStr"/>
    </row>
    <row r="37" ht="15" customHeight="1">
      <c r="A37" t="inlineStr">
        <is>
          <t>A 8300-2024</t>
        </is>
      </c>
      <c r="B37" s="1" t="n">
        <v>45352.44717592592</v>
      </c>
      <c r="C37" s="1" t="n">
        <v>45917</v>
      </c>
      <c r="D37" t="inlineStr">
        <is>
          <t>STOCKHOLMS LÄN</t>
        </is>
      </c>
      <c r="E37" t="inlineStr">
        <is>
          <t>SALEM</t>
        </is>
      </c>
      <c r="F37" t="inlineStr">
        <is>
          <t>Kommuner</t>
        </is>
      </c>
      <c r="G37" t="n">
        <v>3.4</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45917</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45917</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45917</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45917</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45917</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33246-2021</t>
        </is>
      </c>
      <c r="B43" s="1" t="n">
        <v>44377</v>
      </c>
      <c r="C43" s="1" t="n">
        <v>45917</v>
      </c>
      <c r="D43" t="inlineStr">
        <is>
          <t>STOCKHOLMS LÄN</t>
        </is>
      </c>
      <c r="E43" t="inlineStr">
        <is>
          <t>SALEM</t>
        </is>
      </c>
      <c r="G43" t="n">
        <v>3.4</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45917</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45917</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58592-2023</t>
        </is>
      </c>
      <c r="B46" s="1" t="n">
        <v>45251</v>
      </c>
      <c r="C46" s="1" t="n">
        <v>45917</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28843-2021</t>
        </is>
      </c>
      <c r="B47" s="1" t="n">
        <v>44357</v>
      </c>
      <c r="C47" s="1" t="n">
        <v>45917</v>
      </c>
      <c r="D47" t="inlineStr">
        <is>
          <t>STOCKHOLMS LÄN</t>
        </is>
      </c>
      <c r="E47" t="inlineStr">
        <is>
          <t>SALEM</t>
        </is>
      </c>
      <c r="G47" t="n">
        <v>1.3</v>
      </c>
      <c r="H47" t="n">
        <v>0</v>
      </c>
      <c r="I47" t="n">
        <v>0</v>
      </c>
      <c r="J47" t="n">
        <v>0</v>
      </c>
      <c r="K47" t="n">
        <v>0</v>
      </c>
      <c r="L47" t="n">
        <v>0</v>
      </c>
      <c r="M47" t="n">
        <v>0</v>
      </c>
      <c r="N47" t="n">
        <v>0</v>
      </c>
      <c r="O47" t="n">
        <v>0</v>
      </c>
      <c r="P47" t="n">
        <v>0</v>
      </c>
      <c r="Q47" t="n">
        <v>0</v>
      </c>
      <c r="R47" s="2" t="inlineStr"/>
    </row>
    <row r="48" ht="15" customHeight="1">
      <c r="A48" t="inlineStr">
        <is>
          <t>A 9533-2024</t>
        </is>
      </c>
      <c r="B48" s="1" t="n">
        <v>45359.69105324074</v>
      </c>
      <c r="C48" s="1" t="n">
        <v>45917</v>
      </c>
      <c r="D48" t="inlineStr">
        <is>
          <t>STOCKHOLMS LÄN</t>
        </is>
      </c>
      <c r="E48" t="inlineStr">
        <is>
          <t>SALEM</t>
        </is>
      </c>
      <c r="F48" t="inlineStr">
        <is>
          <t>Kommuner</t>
        </is>
      </c>
      <c r="G48" t="n">
        <v>2.6</v>
      </c>
      <c r="H48" t="n">
        <v>0</v>
      </c>
      <c r="I48" t="n">
        <v>0</v>
      </c>
      <c r="J48" t="n">
        <v>0</v>
      </c>
      <c r="K48" t="n">
        <v>0</v>
      </c>
      <c r="L48" t="n">
        <v>0</v>
      </c>
      <c r="M48" t="n">
        <v>0</v>
      </c>
      <c r="N48" t="n">
        <v>0</v>
      </c>
      <c r="O48" t="n">
        <v>0</v>
      </c>
      <c r="P48" t="n">
        <v>0</v>
      </c>
      <c r="Q48" t="n">
        <v>0</v>
      </c>
      <c r="R48" s="2" t="inlineStr"/>
    </row>
    <row r="49" ht="15" customHeight="1">
      <c r="A49" t="inlineStr">
        <is>
          <t>A 33262-2021</t>
        </is>
      </c>
      <c r="B49" s="1" t="n">
        <v>44377.35033564815</v>
      </c>
      <c r="C49" s="1" t="n">
        <v>45917</v>
      </c>
      <c r="D49" t="inlineStr">
        <is>
          <t>STOCKHOLMS LÄN</t>
        </is>
      </c>
      <c r="E49" t="inlineStr">
        <is>
          <t>SALEM</t>
        </is>
      </c>
      <c r="G49" t="n">
        <v>0.7</v>
      </c>
      <c r="H49" t="n">
        <v>0</v>
      </c>
      <c r="I49" t="n">
        <v>0</v>
      </c>
      <c r="J49" t="n">
        <v>0</v>
      </c>
      <c r="K49" t="n">
        <v>0</v>
      </c>
      <c r="L49" t="n">
        <v>0</v>
      </c>
      <c r="M49" t="n">
        <v>0</v>
      </c>
      <c r="N49" t="n">
        <v>0</v>
      </c>
      <c r="O49" t="n">
        <v>0</v>
      </c>
      <c r="P49" t="n">
        <v>0</v>
      </c>
      <c r="Q49" t="n">
        <v>0</v>
      </c>
      <c r="R49" s="2" t="inlineStr"/>
    </row>
    <row r="50" ht="15" customHeight="1">
      <c r="A50" t="inlineStr">
        <is>
          <t>A 23992-2023</t>
        </is>
      </c>
      <c r="B50" s="1" t="n">
        <v>45078</v>
      </c>
      <c r="C50" s="1" t="n">
        <v>45917</v>
      </c>
      <c r="D50" t="inlineStr">
        <is>
          <t>STOCKHOLMS LÄN</t>
        </is>
      </c>
      <c r="E50" t="inlineStr">
        <is>
          <t>SALEM</t>
        </is>
      </c>
      <c r="F50" t="inlineStr">
        <is>
          <t>Kommuner</t>
        </is>
      </c>
      <c r="G50" t="n">
        <v>0.7</v>
      </c>
      <c r="H50" t="n">
        <v>0</v>
      </c>
      <c r="I50" t="n">
        <v>0</v>
      </c>
      <c r="J50" t="n">
        <v>0</v>
      </c>
      <c r="K50" t="n">
        <v>0</v>
      </c>
      <c r="L50" t="n">
        <v>0</v>
      </c>
      <c r="M50" t="n">
        <v>0</v>
      </c>
      <c r="N50" t="n">
        <v>0</v>
      </c>
      <c r="O50" t="n">
        <v>0</v>
      </c>
      <c r="P50" t="n">
        <v>0</v>
      </c>
      <c r="Q50" t="n">
        <v>0</v>
      </c>
      <c r="R50" s="2" t="inlineStr"/>
    </row>
    <row r="51" ht="15" customHeight="1">
      <c r="A51" t="inlineStr">
        <is>
          <t>A 1071-2023</t>
        </is>
      </c>
      <c r="B51" s="1" t="n">
        <v>44935</v>
      </c>
      <c r="C51" s="1" t="n">
        <v>45917</v>
      </c>
      <c r="D51" t="inlineStr">
        <is>
          <t>STOCKHOLMS LÄN</t>
        </is>
      </c>
      <c r="E51" t="inlineStr">
        <is>
          <t>SALEM</t>
        </is>
      </c>
      <c r="F51" t="inlineStr">
        <is>
          <t>Kommuner</t>
        </is>
      </c>
      <c r="G51" t="n">
        <v>5.1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45917</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46919-2023</t>
        </is>
      </c>
      <c r="B53" s="1" t="n">
        <v>45201</v>
      </c>
      <c r="C53" s="1" t="n">
        <v>45917</v>
      </c>
      <c r="D53" t="inlineStr">
        <is>
          <t>STOCKHOLMS LÄN</t>
        </is>
      </c>
      <c r="E53" t="inlineStr">
        <is>
          <t>SALEM</t>
        </is>
      </c>
      <c r="F53" t="inlineStr">
        <is>
          <t>Kommuner</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45917</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2025-09-17T09:00:19Z</dcterms:created>
  <dcterms:modified xmlns:dcterms="http://purl.org/dc/terms/" xmlns:xsi="http://www.w3.org/2001/XMLSchema-instance" xsi:type="dcterms:W3CDTF">2025-09-17T09:00:19Z</dcterms:modified>
</cp:coreProperties>
</file>