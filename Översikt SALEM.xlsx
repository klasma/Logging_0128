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45905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45905</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45905</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45905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45905</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47262-2024</t>
        </is>
      </c>
      <c r="B9" s="1" t="n">
        <v>45586</v>
      </c>
      <c r="C9" s="1" t="n">
        <v>45905</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45905</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45905</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2987-2023</t>
        </is>
      </c>
      <c r="B12" s="1" t="n">
        <v>44945</v>
      </c>
      <c r="C12" s="1" t="n">
        <v>45905</v>
      </c>
      <c r="D12" t="inlineStr">
        <is>
          <t>STOCKHOLMS LÄN</t>
        </is>
      </c>
      <c r="E12" t="inlineStr">
        <is>
          <t>SALEM</t>
        </is>
      </c>
      <c r="F12" t="inlineStr">
        <is>
          <t>Kommuner</t>
        </is>
      </c>
      <c r="G12" t="n">
        <v>6.2</v>
      </c>
      <c r="H12" t="n">
        <v>0</v>
      </c>
      <c r="I12" t="n">
        <v>0</v>
      </c>
      <c r="J12" t="n">
        <v>1</v>
      </c>
      <c r="K12" t="n">
        <v>0</v>
      </c>
      <c r="L12" t="n">
        <v>0</v>
      </c>
      <c r="M12" t="n">
        <v>0</v>
      </c>
      <c r="N12" t="n">
        <v>0</v>
      </c>
      <c r="O12" t="n">
        <v>1</v>
      </c>
      <c r="P12" t="n">
        <v>0</v>
      </c>
      <c r="Q12" t="n">
        <v>1</v>
      </c>
      <c r="R12" s="2" t="inlineStr">
        <is>
          <t>Tallticka</t>
        </is>
      </c>
      <c r="S12">
        <f>HYPERLINK("https://klasma.github.io/Logging_0128/artfynd/A 2987-2023 artfynd.xlsx", "A 2987-2023")</f>
        <v/>
      </c>
      <c r="T12">
        <f>HYPERLINK("https://klasma.github.io/Logging_0128/kartor/A 2987-2023 karta.png", "A 2987-2023")</f>
        <v/>
      </c>
      <c r="V12">
        <f>HYPERLINK("https://klasma.github.io/Logging_0128/klagomål/A 2987-2023 FSC-klagomål.docx", "A 2987-2023")</f>
        <v/>
      </c>
      <c r="W12">
        <f>HYPERLINK("https://klasma.github.io/Logging_0128/klagomålsmail/A 2987-2023 FSC-klagomål mail.docx", "A 2987-2023")</f>
        <v/>
      </c>
      <c r="X12">
        <f>HYPERLINK("https://klasma.github.io/Logging_0128/tillsyn/A 2987-2023 tillsynsbegäran.docx", "A 2987-2023")</f>
        <v/>
      </c>
      <c r="Y12">
        <f>HYPERLINK("https://klasma.github.io/Logging_0128/tillsynsmail/A 2987-2023 tillsynsbegäran mail.docx", "A 2987-2023")</f>
        <v/>
      </c>
    </row>
    <row r="13" ht="15" customHeight="1">
      <c r="A13" t="inlineStr">
        <is>
          <t>A 28838-2021</t>
        </is>
      </c>
      <c r="B13" s="1" t="n">
        <v>44357</v>
      </c>
      <c r="C13" s="1" t="n">
        <v>45905</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45905</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45905</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45905</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45905</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46919-2023</t>
        </is>
      </c>
      <c r="B18" s="1" t="n">
        <v>45201</v>
      </c>
      <c r="C18" s="1" t="n">
        <v>45905</v>
      </c>
      <c r="D18" t="inlineStr">
        <is>
          <t>STOCKHOLMS LÄN</t>
        </is>
      </c>
      <c r="E18" t="inlineStr">
        <is>
          <t>SALEM</t>
        </is>
      </c>
      <c r="F18" t="inlineStr">
        <is>
          <t>Kommuner</t>
        </is>
      </c>
      <c r="G18" t="n">
        <v>1.3</v>
      </c>
      <c r="H18" t="n">
        <v>0</v>
      </c>
      <c r="I18" t="n">
        <v>0</v>
      </c>
      <c r="J18" t="n">
        <v>0</v>
      </c>
      <c r="K18" t="n">
        <v>0</v>
      </c>
      <c r="L18" t="n">
        <v>0</v>
      </c>
      <c r="M18" t="n">
        <v>0</v>
      </c>
      <c r="N18" t="n">
        <v>0</v>
      </c>
      <c r="O18" t="n">
        <v>0</v>
      </c>
      <c r="P18" t="n">
        <v>0</v>
      </c>
      <c r="Q18" t="n">
        <v>0</v>
      </c>
      <c r="R18" s="2" t="inlineStr"/>
    </row>
    <row r="19" ht="15" customHeight="1">
      <c r="A19" t="inlineStr">
        <is>
          <t>A 51720-2023</t>
        </is>
      </c>
      <c r="B19" s="1" t="n">
        <v>45222</v>
      </c>
      <c r="C19" s="1" t="n">
        <v>45905</v>
      </c>
      <c r="D19" t="inlineStr">
        <is>
          <t>STOCKHOLMS LÄN</t>
        </is>
      </c>
      <c r="E19" t="inlineStr">
        <is>
          <t>SALEM</t>
        </is>
      </c>
      <c r="G19" t="n">
        <v>0.4</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45905</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58592-2023</t>
        </is>
      </c>
      <c r="B21" s="1" t="n">
        <v>45251</v>
      </c>
      <c r="C21" s="1" t="n">
        <v>45905</v>
      </c>
      <c r="D21" t="inlineStr">
        <is>
          <t>STOCKHOLMS LÄN</t>
        </is>
      </c>
      <c r="E21" t="inlineStr">
        <is>
          <t>SALEM</t>
        </is>
      </c>
      <c r="G21" t="n">
        <v>2.1</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45905</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33428-2025</t>
        </is>
      </c>
      <c r="B23" s="1" t="n">
        <v>45839</v>
      </c>
      <c r="C23" s="1" t="n">
        <v>45905</v>
      </c>
      <c r="D23" t="inlineStr">
        <is>
          <t>STOCKHOLMS LÄN</t>
        </is>
      </c>
      <c r="E23" t="inlineStr">
        <is>
          <t>SALEM</t>
        </is>
      </c>
      <c r="G23" t="n">
        <v>2.2</v>
      </c>
      <c r="H23" t="n">
        <v>0</v>
      </c>
      <c r="I23" t="n">
        <v>0</v>
      </c>
      <c r="J23" t="n">
        <v>0</v>
      </c>
      <c r="K23" t="n">
        <v>0</v>
      </c>
      <c r="L23" t="n">
        <v>0</v>
      </c>
      <c r="M23" t="n">
        <v>0</v>
      </c>
      <c r="N23" t="n">
        <v>0</v>
      </c>
      <c r="O23" t="n">
        <v>0</v>
      </c>
      <c r="P23" t="n">
        <v>0</v>
      </c>
      <c r="Q23" t="n">
        <v>0</v>
      </c>
      <c r="R23" s="2" t="inlineStr"/>
    </row>
    <row r="24" ht="15" customHeight="1">
      <c r="A24" t="inlineStr">
        <is>
          <t>A 32946-2025</t>
        </is>
      </c>
      <c r="B24" s="1" t="n">
        <v>45839</v>
      </c>
      <c r="C24" s="1" t="n">
        <v>45905</v>
      </c>
      <c r="D24" t="inlineStr">
        <is>
          <t>STOCKHOLMS LÄN</t>
        </is>
      </c>
      <c r="E24" t="inlineStr">
        <is>
          <t>SALEM</t>
        </is>
      </c>
      <c r="G24" t="n">
        <v>1.6</v>
      </c>
      <c r="H24" t="n">
        <v>0</v>
      </c>
      <c r="I24" t="n">
        <v>0</v>
      </c>
      <c r="J24" t="n">
        <v>0</v>
      </c>
      <c r="K24" t="n">
        <v>0</v>
      </c>
      <c r="L24" t="n">
        <v>0</v>
      </c>
      <c r="M24" t="n">
        <v>0</v>
      </c>
      <c r="N24" t="n">
        <v>0</v>
      </c>
      <c r="O24" t="n">
        <v>0</v>
      </c>
      <c r="P24" t="n">
        <v>0</v>
      </c>
      <c r="Q24" t="n">
        <v>0</v>
      </c>
      <c r="R24" s="2" t="inlineStr"/>
    </row>
    <row r="25" ht="15" customHeight="1">
      <c r="A25" t="inlineStr">
        <is>
          <t>A 33277-2025</t>
        </is>
      </c>
      <c r="B25" s="1" t="n">
        <v>45839</v>
      </c>
      <c r="C25" s="1" t="n">
        <v>45905</v>
      </c>
      <c r="D25" t="inlineStr">
        <is>
          <t>STOCKHOLMS LÄN</t>
        </is>
      </c>
      <c r="E25" t="inlineStr">
        <is>
          <t>SALEM</t>
        </is>
      </c>
      <c r="G25" t="n">
        <v>2.4</v>
      </c>
      <c r="H25" t="n">
        <v>0</v>
      </c>
      <c r="I25" t="n">
        <v>0</v>
      </c>
      <c r="J25" t="n">
        <v>0</v>
      </c>
      <c r="K25" t="n">
        <v>0</v>
      </c>
      <c r="L25" t="n">
        <v>0</v>
      </c>
      <c r="M25" t="n">
        <v>0</v>
      </c>
      <c r="N25" t="n">
        <v>0</v>
      </c>
      <c r="O25" t="n">
        <v>0</v>
      </c>
      <c r="P25" t="n">
        <v>0</v>
      </c>
      <c r="Q25" t="n">
        <v>0</v>
      </c>
      <c r="R25" s="2" t="inlineStr"/>
    </row>
    <row r="26" ht="15" customHeight="1">
      <c r="A26" t="inlineStr">
        <is>
          <t>A 33455-2025</t>
        </is>
      </c>
      <c r="B26" s="1" t="n">
        <v>45839</v>
      </c>
      <c r="C26" s="1" t="n">
        <v>45905</v>
      </c>
      <c r="D26" t="inlineStr">
        <is>
          <t>STOCKHOLMS LÄN</t>
        </is>
      </c>
      <c r="E26" t="inlineStr">
        <is>
          <t>SALEM</t>
        </is>
      </c>
      <c r="G26" t="n">
        <v>0.9</v>
      </c>
      <c r="H26" t="n">
        <v>0</v>
      </c>
      <c r="I26" t="n">
        <v>0</v>
      </c>
      <c r="J26" t="n">
        <v>0</v>
      </c>
      <c r="K26" t="n">
        <v>0</v>
      </c>
      <c r="L26" t="n">
        <v>0</v>
      </c>
      <c r="M26" t="n">
        <v>0</v>
      </c>
      <c r="N26" t="n">
        <v>0</v>
      </c>
      <c r="O26" t="n">
        <v>0</v>
      </c>
      <c r="P26" t="n">
        <v>0</v>
      </c>
      <c r="Q26" t="n">
        <v>0</v>
      </c>
      <c r="R26" s="2" t="inlineStr"/>
    </row>
    <row r="27" ht="15" customHeight="1">
      <c r="A27" t="inlineStr">
        <is>
          <t>A 33243-2025</t>
        </is>
      </c>
      <c r="B27" s="1" t="n">
        <v>45839</v>
      </c>
      <c r="C27" s="1" t="n">
        <v>45905</v>
      </c>
      <c r="D27" t="inlineStr">
        <is>
          <t>STOCKHOLMS LÄN</t>
        </is>
      </c>
      <c r="E27" t="inlineStr">
        <is>
          <t>SALEM</t>
        </is>
      </c>
      <c r="G27" t="n">
        <v>2.7</v>
      </c>
      <c r="H27" t="n">
        <v>0</v>
      </c>
      <c r="I27" t="n">
        <v>0</v>
      </c>
      <c r="J27" t="n">
        <v>0</v>
      </c>
      <c r="K27" t="n">
        <v>0</v>
      </c>
      <c r="L27" t="n">
        <v>0</v>
      </c>
      <c r="M27" t="n">
        <v>0</v>
      </c>
      <c r="N27" t="n">
        <v>0</v>
      </c>
      <c r="O27" t="n">
        <v>0</v>
      </c>
      <c r="P27" t="n">
        <v>0</v>
      </c>
      <c r="Q27" t="n">
        <v>0</v>
      </c>
      <c r="R27" s="2" t="inlineStr"/>
    </row>
    <row r="28" ht="15" customHeight="1">
      <c r="A28" t="inlineStr">
        <is>
          <t>A 33251-2025</t>
        </is>
      </c>
      <c r="B28" s="1" t="n">
        <v>45839</v>
      </c>
      <c r="C28" s="1" t="n">
        <v>45905</v>
      </c>
      <c r="D28" t="inlineStr">
        <is>
          <t>STOCKHOLMS LÄN</t>
        </is>
      </c>
      <c r="E28" t="inlineStr">
        <is>
          <t>SALEM</t>
        </is>
      </c>
      <c r="G28" t="n">
        <v>2.9</v>
      </c>
      <c r="H28" t="n">
        <v>0</v>
      </c>
      <c r="I28" t="n">
        <v>0</v>
      </c>
      <c r="J28" t="n">
        <v>0</v>
      </c>
      <c r="K28" t="n">
        <v>0</v>
      </c>
      <c r="L28" t="n">
        <v>0</v>
      </c>
      <c r="M28" t="n">
        <v>0</v>
      </c>
      <c r="N28" t="n">
        <v>0</v>
      </c>
      <c r="O28" t="n">
        <v>0</v>
      </c>
      <c r="P28" t="n">
        <v>0</v>
      </c>
      <c r="Q28" t="n">
        <v>0</v>
      </c>
      <c r="R28" s="2" t="inlineStr"/>
    </row>
    <row r="29" ht="15" customHeight="1">
      <c r="A29" t="inlineStr">
        <is>
          <t>A 33446-2025</t>
        </is>
      </c>
      <c r="B29" s="1" t="n">
        <v>45839</v>
      </c>
      <c r="C29" s="1" t="n">
        <v>45905</v>
      </c>
      <c r="D29" t="inlineStr">
        <is>
          <t>STOCKHOLMS LÄN</t>
        </is>
      </c>
      <c r="E29" t="inlineStr">
        <is>
          <t>SALEM</t>
        </is>
      </c>
      <c r="G29" t="n">
        <v>9.4</v>
      </c>
      <c r="H29" t="n">
        <v>0</v>
      </c>
      <c r="I29" t="n">
        <v>0</v>
      </c>
      <c r="J29" t="n">
        <v>0</v>
      </c>
      <c r="K29" t="n">
        <v>0</v>
      </c>
      <c r="L29" t="n">
        <v>0</v>
      </c>
      <c r="M29" t="n">
        <v>0</v>
      </c>
      <c r="N29" t="n">
        <v>0</v>
      </c>
      <c r="O29" t="n">
        <v>0</v>
      </c>
      <c r="P29" t="n">
        <v>0</v>
      </c>
      <c r="Q29" t="n">
        <v>0</v>
      </c>
      <c r="R29" s="2" t="inlineStr"/>
    </row>
    <row r="30" ht="15" customHeight="1">
      <c r="A30" t="inlineStr">
        <is>
          <t>A 33421-2025</t>
        </is>
      </c>
      <c r="B30" s="1" t="n">
        <v>45839</v>
      </c>
      <c r="C30" s="1" t="n">
        <v>45905</v>
      </c>
      <c r="D30" t="inlineStr">
        <is>
          <t>STOCKHOLMS LÄN</t>
        </is>
      </c>
      <c r="E30" t="inlineStr">
        <is>
          <t>SALEM</t>
        </is>
      </c>
      <c r="G30" t="n">
        <v>1</v>
      </c>
      <c r="H30" t="n">
        <v>0</v>
      </c>
      <c r="I30" t="n">
        <v>0</v>
      </c>
      <c r="J30" t="n">
        <v>0</v>
      </c>
      <c r="K30" t="n">
        <v>0</v>
      </c>
      <c r="L30" t="n">
        <v>0</v>
      </c>
      <c r="M30" t="n">
        <v>0</v>
      </c>
      <c r="N30" t="n">
        <v>0</v>
      </c>
      <c r="O30" t="n">
        <v>0</v>
      </c>
      <c r="P30" t="n">
        <v>0</v>
      </c>
      <c r="Q30" t="n">
        <v>0</v>
      </c>
      <c r="R30" s="2" t="inlineStr"/>
    </row>
    <row r="31" ht="15" customHeight="1">
      <c r="A31" t="inlineStr">
        <is>
          <t>A 33029-2025</t>
        </is>
      </c>
      <c r="B31" s="1" t="n">
        <v>45839</v>
      </c>
      <c r="C31" s="1" t="n">
        <v>45905</v>
      </c>
      <c r="D31" t="inlineStr">
        <is>
          <t>STOCKHOLMS LÄN</t>
        </is>
      </c>
      <c r="E31" t="inlineStr">
        <is>
          <t>SALEM</t>
        </is>
      </c>
      <c r="G31" t="n">
        <v>1.5</v>
      </c>
      <c r="H31" t="n">
        <v>0</v>
      </c>
      <c r="I31" t="n">
        <v>0</v>
      </c>
      <c r="J31" t="n">
        <v>0</v>
      </c>
      <c r="K31" t="n">
        <v>0</v>
      </c>
      <c r="L31" t="n">
        <v>0</v>
      </c>
      <c r="M31" t="n">
        <v>0</v>
      </c>
      <c r="N31" t="n">
        <v>0</v>
      </c>
      <c r="O31" t="n">
        <v>0</v>
      </c>
      <c r="P31" t="n">
        <v>0</v>
      </c>
      <c r="Q31" t="n">
        <v>0</v>
      </c>
      <c r="R31" s="2" t="inlineStr"/>
    </row>
    <row r="32" ht="15" customHeight="1">
      <c r="A32" t="inlineStr">
        <is>
          <t>A 32960-2025</t>
        </is>
      </c>
      <c r="B32" s="1" t="n">
        <v>45839</v>
      </c>
      <c r="C32" s="1" t="n">
        <v>45905</v>
      </c>
      <c r="D32" t="inlineStr">
        <is>
          <t>STOCKHOLMS LÄN</t>
        </is>
      </c>
      <c r="E32" t="inlineStr">
        <is>
          <t>SALEM</t>
        </is>
      </c>
      <c r="G32" t="n">
        <v>5.3</v>
      </c>
      <c r="H32" t="n">
        <v>0</v>
      </c>
      <c r="I32" t="n">
        <v>0</v>
      </c>
      <c r="J32" t="n">
        <v>0</v>
      </c>
      <c r="K32" t="n">
        <v>0</v>
      </c>
      <c r="L32" t="n">
        <v>0</v>
      </c>
      <c r="M32" t="n">
        <v>0</v>
      </c>
      <c r="N32" t="n">
        <v>0</v>
      </c>
      <c r="O32" t="n">
        <v>0</v>
      </c>
      <c r="P32" t="n">
        <v>0</v>
      </c>
      <c r="Q32" t="n">
        <v>0</v>
      </c>
      <c r="R32" s="2" t="inlineStr"/>
    </row>
    <row r="33" ht="15" customHeight="1">
      <c r="A33" t="inlineStr">
        <is>
          <t>A 32968-2025</t>
        </is>
      </c>
      <c r="B33" s="1" t="n">
        <v>45839</v>
      </c>
      <c r="C33" s="1" t="n">
        <v>45905</v>
      </c>
      <c r="D33" t="inlineStr">
        <is>
          <t>STOCKHOLMS LÄN</t>
        </is>
      </c>
      <c r="E33" t="inlineStr">
        <is>
          <t>SALEM</t>
        </is>
      </c>
      <c r="G33" t="n">
        <v>1.1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45905</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45905</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45905</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33284-2025</t>
        </is>
      </c>
      <c r="B37" s="1" t="n">
        <v>45839</v>
      </c>
      <c r="C37" s="1" t="n">
        <v>45905</v>
      </c>
      <c r="D37" t="inlineStr">
        <is>
          <t>STOCKHOLMS LÄN</t>
        </is>
      </c>
      <c r="E37" t="inlineStr">
        <is>
          <t>SALEM</t>
        </is>
      </c>
      <c r="G37" t="n">
        <v>3.3</v>
      </c>
      <c r="H37" t="n">
        <v>0</v>
      </c>
      <c r="I37" t="n">
        <v>0</v>
      </c>
      <c r="J37" t="n">
        <v>0</v>
      </c>
      <c r="K37" t="n">
        <v>0</v>
      </c>
      <c r="L37" t="n">
        <v>0</v>
      </c>
      <c r="M37" t="n">
        <v>0</v>
      </c>
      <c r="N37" t="n">
        <v>0</v>
      </c>
      <c r="O37" t="n">
        <v>0</v>
      </c>
      <c r="P37" t="n">
        <v>0</v>
      </c>
      <c r="Q37" t="n">
        <v>0</v>
      </c>
      <c r="R37" s="2" t="inlineStr"/>
    </row>
    <row r="38" ht="15" customHeight="1">
      <c r="A38" t="inlineStr">
        <is>
          <t>A 32962-2025</t>
        </is>
      </c>
      <c r="B38" s="1" t="n">
        <v>45839</v>
      </c>
      <c r="C38" s="1" t="n">
        <v>45905</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32942-2025</t>
        </is>
      </c>
      <c r="B39" s="1" t="n">
        <v>45839</v>
      </c>
      <c r="C39" s="1" t="n">
        <v>45905</v>
      </c>
      <c r="D39" t="inlineStr">
        <is>
          <t>STOCKHOLMS LÄN</t>
        </is>
      </c>
      <c r="E39" t="inlineStr">
        <is>
          <t>SALEM</t>
        </is>
      </c>
      <c r="G39" t="n">
        <v>1.4</v>
      </c>
      <c r="H39" t="n">
        <v>0</v>
      </c>
      <c r="I39" t="n">
        <v>0</v>
      </c>
      <c r="J39" t="n">
        <v>0</v>
      </c>
      <c r="K39" t="n">
        <v>0</v>
      </c>
      <c r="L39" t="n">
        <v>0</v>
      </c>
      <c r="M39" t="n">
        <v>0</v>
      </c>
      <c r="N39" t="n">
        <v>0</v>
      </c>
      <c r="O39" t="n">
        <v>0</v>
      </c>
      <c r="P39" t="n">
        <v>0</v>
      </c>
      <c r="Q39" t="n">
        <v>0</v>
      </c>
      <c r="R39" s="2" t="inlineStr"/>
    </row>
    <row r="40" ht="15" customHeight="1">
      <c r="A40" t="inlineStr">
        <is>
          <t>A 32965-2025</t>
        </is>
      </c>
      <c r="B40" s="1" t="n">
        <v>45839</v>
      </c>
      <c r="C40" s="1" t="n">
        <v>45905</v>
      </c>
      <c r="D40" t="inlineStr">
        <is>
          <t>STOCKHOLMS LÄN</t>
        </is>
      </c>
      <c r="E40" t="inlineStr">
        <is>
          <t>SALEM</t>
        </is>
      </c>
      <c r="G40" t="n">
        <v>2.8</v>
      </c>
      <c r="H40" t="n">
        <v>0</v>
      </c>
      <c r="I40" t="n">
        <v>0</v>
      </c>
      <c r="J40" t="n">
        <v>0</v>
      </c>
      <c r="K40" t="n">
        <v>0</v>
      </c>
      <c r="L40" t="n">
        <v>0</v>
      </c>
      <c r="M40" t="n">
        <v>0</v>
      </c>
      <c r="N40" t="n">
        <v>0</v>
      </c>
      <c r="O40" t="n">
        <v>0</v>
      </c>
      <c r="P40" t="n">
        <v>0</v>
      </c>
      <c r="Q40" t="n">
        <v>0</v>
      </c>
      <c r="R40" s="2" t="inlineStr"/>
    </row>
    <row r="41" ht="15" customHeight="1">
      <c r="A41" t="inlineStr">
        <is>
          <t>A 32970-2025</t>
        </is>
      </c>
      <c r="B41" s="1" t="n">
        <v>45839</v>
      </c>
      <c r="C41" s="1" t="n">
        <v>45905</v>
      </c>
      <c r="D41" t="inlineStr">
        <is>
          <t>STOCKHOLMS LÄN</t>
        </is>
      </c>
      <c r="E41" t="inlineStr">
        <is>
          <t>SALEM</t>
        </is>
      </c>
      <c r="G41" t="n">
        <v>10.5</v>
      </c>
      <c r="H41" t="n">
        <v>0</v>
      </c>
      <c r="I41" t="n">
        <v>0</v>
      </c>
      <c r="J41" t="n">
        <v>0</v>
      </c>
      <c r="K41" t="n">
        <v>0</v>
      </c>
      <c r="L41" t="n">
        <v>0</v>
      </c>
      <c r="M41" t="n">
        <v>0</v>
      </c>
      <c r="N41" t="n">
        <v>0</v>
      </c>
      <c r="O41" t="n">
        <v>0</v>
      </c>
      <c r="P41" t="n">
        <v>0</v>
      </c>
      <c r="Q41" t="n">
        <v>0</v>
      </c>
      <c r="R41" s="2" t="inlineStr"/>
    </row>
    <row r="42" ht="15" customHeight="1">
      <c r="A42" t="inlineStr">
        <is>
          <t>A 33439-2025</t>
        </is>
      </c>
      <c r="B42" s="1" t="n">
        <v>45839</v>
      </c>
      <c r="C42" s="1" t="n">
        <v>45905</v>
      </c>
      <c r="D42" t="inlineStr">
        <is>
          <t>STOCKHOLMS LÄN</t>
        </is>
      </c>
      <c r="E42" t="inlineStr">
        <is>
          <t>SALEM</t>
        </is>
      </c>
      <c r="G42" t="n">
        <v>2.9</v>
      </c>
      <c r="H42" t="n">
        <v>0</v>
      </c>
      <c r="I42" t="n">
        <v>0</v>
      </c>
      <c r="J42" t="n">
        <v>0</v>
      </c>
      <c r="K42" t="n">
        <v>0</v>
      </c>
      <c r="L42" t="n">
        <v>0</v>
      </c>
      <c r="M42" t="n">
        <v>0</v>
      </c>
      <c r="N42" t="n">
        <v>0</v>
      </c>
      <c r="O42" t="n">
        <v>0</v>
      </c>
      <c r="P42" t="n">
        <v>0</v>
      </c>
      <c r="Q42" t="n">
        <v>0</v>
      </c>
      <c r="R42" s="2" t="inlineStr"/>
    </row>
    <row r="43" ht="15" customHeight="1">
      <c r="A43" t="inlineStr">
        <is>
          <t>A 33458-2025</t>
        </is>
      </c>
      <c r="B43" s="1" t="n">
        <v>45839</v>
      </c>
      <c r="C43" s="1" t="n">
        <v>45905</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33460-2025</t>
        </is>
      </c>
      <c r="B44" s="1" t="n">
        <v>45839</v>
      </c>
      <c r="C44" s="1" t="n">
        <v>45905</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33465-2025</t>
        </is>
      </c>
      <c r="B45" s="1" t="n">
        <v>45839</v>
      </c>
      <c r="C45" s="1" t="n">
        <v>45905</v>
      </c>
      <c r="D45" t="inlineStr">
        <is>
          <t>STOCKHOLMS LÄN</t>
        </is>
      </c>
      <c r="E45" t="inlineStr">
        <is>
          <t>SALEM</t>
        </is>
      </c>
      <c r="G45" t="n">
        <v>1.6</v>
      </c>
      <c r="H45" t="n">
        <v>0</v>
      </c>
      <c r="I45" t="n">
        <v>0</v>
      </c>
      <c r="J45" t="n">
        <v>0</v>
      </c>
      <c r="K45" t="n">
        <v>0</v>
      </c>
      <c r="L45" t="n">
        <v>0</v>
      </c>
      <c r="M45" t="n">
        <v>0</v>
      </c>
      <c r="N45" t="n">
        <v>0</v>
      </c>
      <c r="O45" t="n">
        <v>0</v>
      </c>
      <c r="P45" t="n">
        <v>0</v>
      </c>
      <c r="Q45" t="n">
        <v>0</v>
      </c>
      <c r="R45" s="2" t="inlineStr"/>
    </row>
    <row r="46" ht="15" customHeight="1">
      <c r="A46" t="inlineStr">
        <is>
          <t>A 32953-2025</t>
        </is>
      </c>
      <c r="B46" s="1" t="n">
        <v>45839</v>
      </c>
      <c r="C46" s="1" t="n">
        <v>45905</v>
      </c>
      <c r="D46" t="inlineStr">
        <is>
          <t>STOCKHOLMS LÄN</t>
        </is>
      </c>
      <c r="E46" t="inlineStr">
        <is>
          <t>SALEM</t>
        </is>
      </c>
      <c r="G46" t="n">
        <v>2.4</v>
      </c>
      <c r="H46" t="n">
        <v>0</v>
      </c>
      <c r="I46" t="n">
        <v>0</v>
      </c>
      <c r="J46" t="n">
        <v>0</v>
      </c>
      <c r="K46" t="n">
        <v>0</v>
      </c>
      <c r="L46" t="n">
        <v>0</v>
      </c>
      <c r="M46" t="n">
        <v>0</v>
      </c>
      <c r="N46" t="n">
        <v>0</v>
      </c>
      <c r="O46" t="n">
        <v>0</v>
      </c>
      <c r="P46" t="n">
        <v>0</v>
      </c>
      <c r="Q46" t="n">
        <v>0</v>
      </c>
      <c r="R46" s="2" t="inlineStr"/>
    </row>
    <row r="47" ht="15" customHeight="1">
      <c r="A47" t="inlineStr">
        <is>
          <t>A 29982-2025</t>
        </is>
      </c>
      <c r="B47" s="1" t="n">
        <v>45826</v>
      </c>
      <c r="C47" s="1" t="n">
        <v>45905</v>
      </c>
      <c r="D47" t="inlineStr">
        <is>
          <t>STOCKHOLMS LÄN</t>
        </is>
      </c>
      <c r="E47" t="inlineStr">
        <is>
          <t>SALEM</t>
        </is>
      </c>
      <c r="G47" t="n">
        <v>1.5</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45905</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45905</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33262-2021</t>
        </is>
      </c>
      <c r="B50" s="1" t="n">
        <v>44377.35033564815</v>
      </c>
      <c r="C50" s="1" t="n">
        <v>45905</v>
      </c>
      <c r="D50" t="inlineStr">
        <is>
          <t>STOCKHOLMS LÄN</t>
        </is>
      </c>
      <c r="E50" t="inlineStr">
        <is>
          <t>SALEM</t>
        </is>
      </c>
      <c r="G50" t="n">
        <v>0.7</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45905</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45905</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9533-2024</t>
        </is>
      </c>
      <c r="B53" s="1" t="n">
        <v>45359.69105324074</v>
      </c>
      <c r="C53" s="1" t="n">
        <v>45905</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23992-2023</t>
        </is>
      </c>
      <c r="B54" s="1" t="n">
        <v>45078</v>
      </c>
      <c r="C54" s="1" t="n">
        <v>45905</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row r="55">
      <c r="A55" t="inlineStr">
        <is>
          <t>A 1071-2023</t>
        </is>
      </c>
      <c r="B55" s="1" t="n">
        <v>44935</v>
      </c>
      <c r="C55" s="1" t="n">
        <v>45905</v>
      </c>
      <c r="D55" t="inlineStr">
        <is>
          <t>STOCKHOLMS LÄN</t>
        </is>
      </c>
      <c r="E55" t="inlineStr">
        <is>
          <t>SALEM</t>
        </is>
      </c>
      <c r="F55" t="inlineStr">
        <is>
          <t>Kommuner</t>
        </is>
      </c>
      <c r="G55" t="n">
        <v>5.1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2025-09-05T08:48:46Z</dcterms:created>
  <dcterms:modified xmlns:dcterms="http://purl.org/dc/terms/" xmlns:xsi="http://www.w3.org/2001/XMLSchema-instance" xsi:type="dcterms:W3CDTF">2025-09-05T08:48:46Z</dcterms:modified>
</cp:coreProperties>
</file>