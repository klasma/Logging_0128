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46323</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46323</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46323</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46323</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46323</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46323</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46323</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46919-2023</t>
        </is>
      </c>
      <c r="B9" t="inlineStr">
        <is>
          <t>avverkningsanmälan</t>
        </is>
      </c>
      <c r="C9" t="inlineStr">
        <is>
          <t>Föryngringsavverkning</t>
        </is>
      </c>
      <c r="D9" s="1" t="n">
        <v>45201</v>
      </c>
      <c r="E9" s="1" t="n">
        <v>46323</v>
      </c>
      <c r="F9" t="inlineStr">
        <is>
          <t>STOCKHOLMS LÄN</t>
        </is>
      </c>
      <c r="G9" t="inlineStr">
        <is>
          <t>SALEM</t>
        </is>
      </c>
      <c r="H9" t="inlineStr">
        <is>
          <t>Kommuner</t>
        </is>
      </c>
      <c r="I9" t="n">
        <v>1.3</v>
      </c>
      <c r="J9" t="n">
        <v>2</v>
      </c>
      <c r="K9" t="n">
        <v>0</v>
      </c>
      <c r="L9" t="n">
        <v>1</v>
      </c>
      <c r="M9" t="n">
        <v>0</v>
      </c>
      <c r="N9" t="n">
        <v>0</v>
      </c>
      <c r="O9" t="n">
        <v>0</v>
      </c>
      <c r="P9" t="n">
        <v>0</v>
      </c>
      <c r="Q9" t="n">
        <v>1</v>
      </c>
      <c r="R9" t="n">
        <v>0</v>
      </c>
      <c r="S9" t="n">
        <v>2</v>
      </c>
      <c r="T9" t="n">
        <v>2</v>
      </c>
      <c r="U9" t="n">
        <v>2</v>
      </c>
      <c r="V9" s="2" t="inlineStr">
        <is>
          <t>Talltita
Tofsmes</t>
        </is>
      </c>
      <c r="W9">
        <f>HYPERLINK("https://klasma.github.io/Logging_0128/artfynd/A 46919-2023 artfynd.xlsx", "A 46919-2023")</f>
        <v/>
      </c>
      <c r="X9">
        <f>HYPERLINK("https://klasma.github.io/Logging_0128/kartor/A 46919-2023 karta.png", "A 46919-2023")</f>
        <v/>
      </c>
      <c r="Y9">
        <f>HYPERLINK("https://klasma.github.io/Logging_0128/kartor_geotiff/A 46919-2023 georefererad karta.tif", "A 46919-2023")</f>
        <v/>
      </c>
      <c r="AA9">
        <f>HYPERLINK("https://klasma.github.io/Logging_0128/klagomål/A 46919-2023 FSC-klagomål.docx", "A 46919-2023")</f>
        <v/>
      </c>
      <c r="AB9">
        <f>HYPERLINK("https://klasma.github.io/Logging_0128/klagomålsmail/A 46919-2023 FSC-klagomål mail.docx", "A 46919-2023")</f>
        <v/>
      </c>
      <c r="AC9">
        <f>HYPERLINK("https://klasma.github.io/Logging_0128/tillsyn/A 46919-2023 tillsynsbegäran.docx", "A 46919-2023")</f>
        <v/>
      </c>
      <c r="AD9">
        <f>HYPERLINK("https://klasma.github.io/Logging_0128/tillsynsmail/A 46919-2023 tillsynsbegäran mail.docx", "A 46919-2023")</f>
        <v/>
      </c>
      <c r="AE9">
        <f>HYPERLINK("https://klasma.github.io/Logging_0128/fåglar/A 46919-2023 prioriterade fågelarter.docx", "A 46919-2023")</f>
        <v/>
      </c>
    </row>
    <row r="10" ht="15" customHeight="1">
      <c r="A10" t="inlineStr">
        <is>
          <t>A 32951-2025</t>
        </is>
      </c>
      <c r="B10" t="inlineStr">
        <is>
          <t>avverkningsanmälan</t>
        </is>
      </c>
      <c r="C10" t="inlineStr">
        <is>
          <t>Avverkning för att bevara och utveckla /försöksver</t>
        </is>
      </c>
      <c r="D10" s="1" t="n">
        <v>45839</v>
      </c>
      <c r="E10" s="1" t="n">
        <v>46323</v>
      </c>
      <c r="F10" t="inlineStr">
        <is>
          <t>STOCKHOLMS LÄN</t>
        </is>
      </c>
      <c r="G10" t="inlineStr">
        <is>
          <t>SALEM</t>
        </is>
      </c>
      <c r="I10" t="n">
        <v>2.6</v>
      </c>
      <c r="J10" t="n">
        <v>1</v>
      </c>
      <c r="K10" t="n">
        <v>0</v>
      </c>
      <c r="L10" t="n">
        <v>1</v>
      </c>
      <c r="M10" t="n">
        <v>0</v>
      </c>
      <c r="N10" t="n">
        <v>0</v>
      </c>
      <c r="O10" t="n">
        <v>0</v>
      </c>
      <c r="P10" t="n">
        <v>0</v>
      </c>
      <c r="Q10" t="n">
        <v>1</v>
      </c>
      <c r="R10" t="n">
        <v>0</v>
      </c>
      <c r="S10" t="n">
        <v>2</v>
      </c>
      <c r="T10" t="n">
        <v>2</v>
      </c>
      <c r="U10" t="n">
        <v>0</v>
      </c>
      <c r="V10" s="2" t="inlineStr">
        <is>
          <t>Etternässla
Kopparödla</t>
        </is>
      </c>
      <c r="W10">
        <f>HYPERLINK("https://klasma.github.io/Logging_0128/artfynd/A 32951-2025 artfynd.xlsx", "A 32951-2025")</f>
        <v/>
      </c>
      <c r="X10">
        <f>HYPERLINK("https://klasma.github.io/Logging_0128/kartor/A 32951-2025 karta.png", "A 32951-2025")</f>
        <v/>
      </c>
      <c r="Y10">
        <f>HYPERLINK("https://klasma.github.io/Logging_0128/kartor_geotiff/A 32951-2025 georefererad karta.tif", "A 32951-2025")</f>
        <v/>
      </c>
      <c r="AA10">
        <f>HYPERLINK("https://klasma.github.io/Logging_0128/klagomål/A 32951-2025 FSC-klagomål.docx", "A 32951-2025")</f>
        <v/>
      </c>
      <c r="AB10">
        <f>HYPERLINK("https://klasma.github.io/Logging_0128/klagomålsmail/A 32951-2025 FSC-klagomål mail.docx", "A 32951-2025")</f>
        <v/>
      </c>
      <c r="AC10">
        <f>HYPERLINK("https://klasma.github.io/Logging_0128/tillsyn/A 32951-2025 tillsynsbegäran.docx", "A 32951-2025")</f>
        <v/>
      </c>
      <c r="AD10">
        <f>HYPERLINK("https://klasma.github.io/Logging_0128/tillsynsmail/A 32951-2025 tillsynsbegäran mail.docx", "A 32951-2025")</f>
        <v/>
      </c>
    </row>
    <row r="11" ht="15" customHeight="1">
      <c r="A11" t="inlineStr">
        <is>
          <t>A 2987-2023</t>
        </is>
      </c>
      <c r="B11" t="inlineStr">
        <is>
          <t>avverkningsanmälan</t>
        </is>
      </c>
      <c r="C11" t="inlineStr">
        <is>
          <t>Föryngringsavverkning</t>
        </is>
      </c>
      <c r="D11" s="1" t="n">
        <v>44945</v>
      </c>
      <c r="E11" s="1" t="n">
        <v>46323</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A 33473-2025</t>
        </is>
      </c>
      <c r="B12" t="inlineStr">
        <is>
          <t>avverkningsanmälan</t>
        </is>
      </c>
      <c r="C12" t="inlineStr">
        <is>
          <t>Avverkning för att bevara och utveckla /försöksver</t>
        </is>
      </c>
      <c r="D12" s="1" t="n">
        <v>45839</v>
      </c>
      <c r="E12" s="1" t="n">
        <v>46323</v>
      </c>
      <c r="F12" t="inlineStr">
        <is>
          <t>STOCKHOLMS LÄN</t>
        </is>
      </c>
      <c r="G12" t="inlineStr">
        <is>
          <t>SALEM</t>
        </is>
      </c>
      <c r="I12" t="n">
        <v>5.7</v>
      </c>
      <c r="J12" t="n">
        <v>0</v>
      </c>
      <c r="K12" t="n">
        <v>0</v>
      </c>
      <c r="L12" t="n">
        <v>0</v>
      </c>
      <c r="M12" t="n">
        <v>1</v>
      </c>
      <c r="N12" t="n">
        <v>0</v>
      </c>
      <c r="O12" t="n">
        <v>0</v>
      </c>
      <c r="P12" t="n">
        <v>0</v>
      </c>
      <c r="Q12" t="n">
        <v>1</v>
      </c>
      <c r="R12" t="n">
        <v>1</v>
      </c>
      <c r="S12" t="n">
        <v>1</v>
      </c>
      <c r="T12" t="n">
        <v>1</v>
      </c>
      <c r="U12" t="n">
        <v>1</v>
      </c>
      <c r="V12" s="2" t="inlineStr">
        <is>
          <t>Igelkott</t>
        </is>
      </c>
      <c r="W12">
        <f>HYPERLINK("https://klasma.github.io/Logging_0128/artfynd/A 33473-2025 artfynd.xlsx", "A 33473-2025")</f>
        <v/>
      </c>
      <c r="X12">
        <f>HYPERLINK("https://klasma.github.io/Logging_0128/kartor/A 33473-2025 karta.png", "A 33473-2025")</f>
        <v/>
      </c>
      <c r="Y12">
        <f>HYPERLINK("https://klasma.github.io/Logging_0128/kartor_geotiff/A 33473-2025 georefererad karta.tif", "A 33473-2025")</f>
        <v/>
      </c>
      <c r="AA12">
        <f>HYPERLINK("https://klasma.github.io/Logging_0128/klagomål/A 33473-2025 FSC-klagomål.docx", "A 33473-2025")</f>
        <v/>
      </c>
      <c r="AB12">
        <f>HYPERLINK("https://klasma.github.io/Logging_0128/klagomålsmail/A 33473-2025 FSC-klagomål mail.docx", "A 33473-2025")</f>
        <v/>
      </c>
      <c r="AC12">
        <f>HYPERLINK("https://klasma.github.io/Logging_0128/tillsyn/A 33473-2025 tillsynsbegäran.docx", "A 33473-2025")</f>
        <v/>
      </c>
      <c r="AD12">
        <f>HYPERLINK("https://klasma.github.io/Logging_0128/tillsynsmail/A 33473-2025 tillsynsbegäran mail.docx", "A 33473-2025")</f>
        <v/>
      </c>
    </row>
    <row r="13" ht="15" customHeight="1">
      <c r="A13" t="inlineStr">
        <is>
          <t>S 2180-2023</t>
        </is>
      </c>
      <c r="B13" t="inlineStr">
        <is>
          <t>samrådsanmälan</t>
        </is>
      </c>
      <c r="C13" t="inlineStr">
        <is>
          <t>Annan skogsbruksåtgärd</t>
        </is>
      </c>
      <c r="D13" s="1" t="n">
        <v>45098</v>
      </c>
      <c r="E13" s="1" t="n">
        <v>46323</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58592-2023</t>
        </is>
      </c>
      <c r="B14" t="inlineStr">
        <is>
          <t>avverkningsanmälan</t>
        </is>
      </c>
      <c r="C14" t="inlineStr">
        <is>
          <t>Föryngringsavverkning</t>
        </is>
      </c>
      <c r="D14" s="1" t="n">
        <v>45251</v>
      </c>
      <c r="E14" s="1" t="n">
        <v>46323</v>
      </c>
      <c r="F14" t="inlineStr">
        <is>
          <t>STOCKHOLMS LÄN</t>
        </is>
      </c>
      <c r="G14" t="inlineStr">
        <is>
          <t>SALEM</t>
        </is>
      </c>
      <c r="I14" t="n">
        <v>2.1</v>
      </c>
      <c r="J14" t="n">
        <v>0</v>
      </c>
      <c r="K14" t="n">
        <v>0</v>
      </c>
      <c r="L14" t="n">
        <v>0</v>
      </c>
      <c r="M14" t="n">
        <v>0</v>
      </c>
      <c r="N14" t="n">
        <v>0</v>
      </c>
      <c r="O14" t="n">
        <v>0</v>
      </c>
      <c r="P14" t="n">
        <v>0</v>
      </c>
      <c r="Q14" t="n">
        <v>0</v>
      </c>
      <c r="R14" t="n">
        <v>0</v>
      </c>
      <c r="S14" t="n">
        <v>0</v>
      </c>
      <c r="T14" t="n">
        <v>0</v>
      </c>
      <c r="U14" t="n">
        <v>0</v>
      </c>
      <c r="V14" s="2" t="inlineStr"/>
    </row>
    <row r="15" ht="15" customHeight="1">
      <c r="A15" t="inlineStr">
        <is>
          <t>A 1071-2023</t>
        </is>
      </c>
      <c r="B15" t="inlineStr">
        <is>
          <t>avverkningsanmälan</t>
        </is>
      </c>
      <c r="C15" t="inlineStr">
        <is>
          <t>Föryngringsavverkning</t>
        </is>
      </c>
      <c r="D15" s="1" t="n">
        <v>44935</v>
      </c>
      <c r="E15" s="1" t="n">
        <v>46323</v>
      </c>
      <c r="F15" t="inlineStr">
        <is>
          <t>STOCKHOLMS LÄN</t>
        </is>
      </c>
      <c r="G15" t="inlineStr">
        <is>
          <t>SALEM</t>
        </is>
      </c>
      <c r="H15" t="inlineStr">
        <is>
          <t>Kommuner</t>
        </is>
      </c>
      <c r="I15" t="n">
        <v>5.1</v>
      </c>
      <c r="J15" t="n">
        <v>0</v>
      </c>
      <c r="K15" t="n">
        <v>0</v>
      </c>
      <c r="L15" t="n">
        <v>0</v>
      </c>
      <c r="M15" t="n">
        <v>0</v>
      </c>
      <c r="N15" t="n">
        <v>0</v>
      </c>
      <c r="O15" t="n">
        <v>0</v>
      </c>
      <c r="P15" t="n">
        <v>0</v>
      </c>
      <c r="Q15" t="n">
        <v>0</v>
      </c>
      <c r="R15" t="n">
        <v>0</v>
      </c>
      <c r="S15" t="n">
        <v>0</v>
      </c>
      <c r="T15" t="n">
        <v>0</v>
      </c>
      <c r="U15" t="n">
        <v>0</v>
      </c>
      <c r="V15" s="2" t="inlineStr"/>
    </row>
    <row r="16" ht="15" customHeight="1">
      <c r="A16" t="inlineStr">
        <is>
          <t>A 61336-2022</t>
        </is>
      </c>
      <c r="B16" t="inlineStr">
        <is>
          <t>avverkningsanmälan</t>
        </is>
      </c>
      <c r="C16" t="inlineStr">
        <is>
          <t>Föryngringsavverkning</t>
        </is>
      </c>
      <c r="D16" s="1" t="n">
        <v>44915</v>
      </c>
      <c r="E16" s="1" t="n">
        <v>46323</v>
      </c>
      <c r="F16" t="inlineStr">
        <is>
          <t>STOCKHOLMS LÄN</t>
        </is>
      </c>
      <c r="G16" t="inlineStr">
        <is>
          <t>SALEM</t>
        </is>
      </c>
      <c r="H16" t="inlineStr">
        <is>
          <t>Kommuner</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46323</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60731-2025</t>
        </is>
      </c>
      <c r="B18" t="inlineStr">
        <is>
          <t>avverkningsanmälan</t>
        </is>
      </c>
      <c r="C18" t="inlineStr">
        <is>
          <t>Föryngringsavverkning</t>
        </is>
      </c>
      <c r="D18" s="1" t="n">
        <v>45995</v>
      </c>
      <c r="E18" s="1" t="n">
        <v>46323</v>
      </c>
      <c r="F18" t="inlineStr">
        <is>
          <t>STOCKHOLMS LÄN</t>
        </is>
      </c>
      <c r="G18" t="inlineStr">
        <is>
          <t>SALEM</t>
        </is>
      </c>
      <c r="I18" t="n">
        <v>0.8</v>
      </c>
      <c r="J18" t="n">
        <v>0</v>
      </c>
      <c r="K18" t="n">
        <v>0</v>
      </c>
      <c r="L18" t="n">
        <v>0</v>
      </c>
      <c r="M18" t="n">
        <v>0</v>
      </c>
      <c r="N18" t="n">
        <v>0</v>
      </c>
      <c r="O18" t="n">
        <v>0</v>
      </c>
      <c r="P18" t="n">
        <v>0</v>
      </c>
      <c r="Q18" t="n">
        <v>0</v>
      </c>
      <c r="R18" t="n">
        <v>0</v>
      </c>
      <c r="S18" t="n">
        <v>0</v>
      </c>
      <c r="T18" t="n">
        <v>0</v>
      </c>
      <c r="U18" t="n">
        <v>0</v>
      </c>
      <c r="V18" s="2" t="inlineStr"/>
    </row>
    <row r="19" ht="15" customHeight="1">
      <c r="A19" t="inlineStr">
        <is>
          <t>A 51720-2023</t>
        </is>
      </c>
      <c r="B19" t="inlineStr">
        <is>
          <t>avverkningsanmälan</t>
        </is>
      </c>
      <c r="C19" t="inlineStr">
        <is>
          <t>Avverkning för att bevara och utveckla /försöksver</t>
        </is>
      </c>
      <c r="D19" s="1" t="n">
        <v>45222</v>
      </c>
      <c r="E19" s="1" t="n">
        <v>46323</v>
      </c>
      <c r="F19" t="inlineStr">
        <is>
          <t>STOCKHOLMS LÄN</t>
        </is>
      </c>
      <c r="G19" t="inlineStr">
        <is>
          <t>SALEM</t>
        </is>
      </c>
      <c r="I19" t="n">
        <v>0.4</v>
      </c>
      <c r="J19" t="n">
        <v>0</v>
      </c>
      <c r="K19" t="n">
        <v>0</v>
      </c>
      <c r="L19" t="n">
        <v>0</v>
      </c>
      <c r="M19" t="n">
        <v>0</v>
      </c>
      <c r="N19" t="n">
        <v>0</v>
      </c>
      <c r="O19" t="n">
        <v>0</v>
      </c>
      <c r="P19" t="n">
        <v>0</v>
      </c>
      <c r="Q19" t="n">
        <v>0</v>
      </c>
      <c r="R19" t="n">
        <v>0</v>
      </c>
      <c r="S19" t="n">
        <v>0</v>
      </c>
      <c r="T19" t="n">
        <v>0</v>
      </c>
      <c r="U19" t="n">
        <v>0</v>
      </c>
      <c r="V19" s="2" t="inlineStr"/>
    </row>
    <row r="20" ht="15" customHeight="1">
      <c r="A20" t="inlineStr">
        <is>
          <t>A 504-2023</t>
        </is>
      </c>
      <c r="B20" t="inlineStr">
        <is>
          <t>avverkningsanmälan</t>
        </is>
      </c>
      <c r="C20" t="inlineStr">
        <is>
          <t>Föryngringsavverkning</t>
        </is>
      </c>
      <c r="D20" s="1" t="n">
        <v>44930</v>
      </c>
      <c r="E20" s="1" t="n">
        <v>46323</v>
      </c>
      <c r="F20" t="inlineStr">
        <is>
          <t>STOCKHOLMS LÄN</t>
        </is>
      </c>
      <c r="G20" t="inlineStr">
        <is>
          <t>SALEM</t>
        </is>
      </c>
      <c r="H20" t="inlineStr">
        <is>
          <t>Kommuner</t>
        </is>
      </c>
      <c r="I20" t="n">
        <v>2</v>
      </c>
      <c r="J20" t="n">
        <v>0</v>
      </c>
      <c r="K20" t="n">
        <v>0</v>
      </c>
      <c r="L20" t="n">
        <v>0</v>
      </c>
      <c r="M20" t="n">
        <v>0</v>
      </c>
      <c r="N20" t="n">
        <v>0</v>
      </c>
      <c r="O20" t="n">
        <v>0</v>
      </c>
      <c r="P20" t="n">
        <v>0</v>
      </c>
      <c r="Q20" t="n">
        <v>0</v>
      </c>
      <c r="R20" t="n">
        <v>0</v>
      </c>
      <c r="S20" t="n">
        <v>0</v>
      </c>
      <c r="T20" t="n">
        <v>0</v>
      </c>
      <c r="U20" t="n">
        <v>0</v>
      </c>
      <c r="V20" s="2" t="inlineStr"/>
    </row>
    <row r="21" ht="15" customHeight="1">
      <c r="A21" t="inlineStr">
        <is>
          <t>A 9533-2024</t>
        </is>
      </c>
      <c r="B21" t="inlineStr">
        <is>
          <t>avverkningsanmälan</t>
        </is>
      </c>
      <c r="C21" t="inlineStr">
        <is>
          <t>Föryngringsavverkning</t>
        </is>
      </c>
      <c r="D21" s="1" t="n">
        <v>45359</v>
      </c>
      <c r="E21" s="1" t="n">
        <v>46323</v>
      </c>
      <c r="F21" t="inlineStr">
        <is>
          <t>STOCKHOLMS LÄN</t>
        </is>
      </c>
      <c r="G21" t="inlineStr">
        <is>
          <t>SALEM</t>
        </is>
      </c>
      <c r="H21" t="inlineStr">
        <is>
          <t>Kommuner</t>
        </is>
      </c>
      <c r="I21" t="n">
        <v>2.6</v>
      </c>
      <c r="J21" t="n">
        <v>0</v>
      </c>
      <c r="K21" t="n">
        <v>0</v>
      </c>
      <c r="L21" t="n">
        <v>0</v>
      </c>
      <c r="M21" t="n">
        <v>0</v>
      </c>
      <c r="N21" t="n">
        <v>0</v>
      </c>
      <c r="O21" t="n">
        <v>0</v>
      </c>
      <c r="P21" t="n">
        <v>0</v>
      </c>
      <c r="Q21" t="n">
        <v>0</v>
      </c>
      <c r="R21" t="n">
        <v>0</v>
      </c>
      <c r="S21" t="n">
        <v>0</v>
      </c>
      <c r="T21" t="n">
        <v>0</v>
      </c>
      <c r="U21" t="n">
        <v>0</v>
      </c>
      <c r="V21" s="2" t="inlineStr"/>
    </row>
    <row r="22" ht="15" customHeight="1">
      <c r="A22" t="inlineStr">
        <is>
          <t>A 33281-2025</t>
        </is>
      </c>
      <c r="B22" t="inlineStr">
        <is>
          <t>avverkningsanmälan</t>
        </is>
      </c>
      <c r="C22" t="inlineStr">
        <is>
          <t>Avverkning för att bevara och utveckla /försöksver</t>
        </is>
      </c>
      <c r="D22" s="1" t="n">
        <v>45839</v>
      </c>
      <c r="E22" s="1" t="n">
        <v>46323</v>
      </c>
      <c r="F22" t="inlineStr">
        <is>
          <t>STOCKHOLMS LÄN</t>
        </is>
      </c>
      <c r="G22" t="inlineStr">
        <is>
          <t>SALEM</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23992-2023</t>
        </is>
      </c>
      <c r="B23" t="inlineStr">
        <is>
          <t>avverkningsanmälan</t>
        </is>
      </c>
      <c r="C23" t="inlineStr">
        <is>
          <t>Föryngringsavverkning</t>
        </is>
      </c>
      <c r="D23" s="1" t="n">
        <v>45078</v>
      </c>
      <c r="E23" s="1" t="n">
        <v>46323</v>
      </c>
      <c r="F23" t="inlineStr">
        <is>
          <t>STOCKHOLMS LÄN</t>
        </is>
      </c>
      <c r="G23" t="inlineStr">
        <is>
          <t>SALEM</t>
        </is>
      </c>
      <c r="H23" t="inlineStr">
        <is>
          <t>Kommuner</t>
        </is>
      </c>
      <c r="I23" t="n">
        <v>0.7</v>
      </c>
      <c r="J23" t="n">
        <v>0</v>
      </c>
      <c r="K23" t="n">
        <v>0</v>
      </c>
      <c r="L23" t="n">
        <v>0</v>
      </c>
      <c r="M23" t="n">
        <v>0</v>
      </c>
      <c r="N23" t="n">
        <v>0</v>
      </c>
      <c r="O23" t="n">
        <v>0</v>
      </c>
      <c r="P23" t="n">
        <v>0</v>
      </c>
      <c r="Q23" t="n">
        <v>0</v>
      </c>
      <c r="R23" t="n">
        <v>0</v>
      </c>
      <c r="S23" t="n">
        <v>0</v>
      </c>
      <c r="T23" t="n">
        <v>0</v>
      </c>
      <c r="U23" t="n">
        <v>0</v>
      </c>
      <c r="V23" s="2" t="inlineStr"/>
    </row>
    <row r="24" ht="15" customHeight="1">
      <c r="A24" t="inlineStr">
        <is>
          <t>A 33428-2025</t>
        </is>
      </c>
      <c r="B24" t="inlineStr">
        <is>
          <t>avverkningsanmälan</t>
        </is>
      </c>
      <c r="C24" t="inlineStr">
        <is>
          <t>Avverkning för att bevara och utveckla /försöksver</t>
        </is>
      </c>
      <c r="D24" s="1" t="n">
        <v>45839</v>
      </c>
      <c r="E24" s="1" t="n">
        <v>46323</v>
      </c>
      <c r="F24" t="inlineStr">
        <is>
          <t>STOCKHOLMS LÄN</t>
        </is>
      </c>
      <c r="G24" t="inlineStr">
        <is>
          <t>SALEM</t>
        </is>
      </c>
      <c r="I24" t="n">
        <v>2.2</v>
      </c>
      <c r="J24" t="n">
        <v>0</v>
      </c>
      <c r="K24" t="n">
        <v>0</v>
      </c>
      <c r="L24" t="n">
        <v>0</v>
      </c>
      <c r="M24" t="n">
        <v>0</v>
      </c>
      <c r="N24" t="n">
        <v>0</v>
      </c>
      <c r="O24" t="n">
        <v>0</v>
      </c>
      <c r="P24" t="n">
        <v>0</v>
      </c>
      <c r="Q24" t="n">
        <v>0</v>
      </c>
      <c r="R24" t="n">
        <v>0</v>
      </c>
      <c r="S24" t="n">
        <v>0</v>
      </c>
      <c r="T24" t="n">
        <v>0</v>
      </c>
      <c r="U24" t="n">
        <v>0</v>
      </c>
      <c r="V24" s="2" t="inlineStr"/>
    </row>
    <row r="25" ht="15" customHeight="1">
      <c r="A25" t="inlineStr">
        <is>
          <t>A 32946-2025</t>
        </is>
      </c>
      <c r="B25" t="inlineStr">
        <is>
          <t>avverkningsanmälan</t>
        </is>
      </c>
      <c r="C25" t="inlineStr">
        <is>
          <t>Avverkning för att bevara och utveckla /försöksver</t>
        </is>
      </c>
      <c r="D25" s="1" t="n">
        <v>45839</v>
      </c>
      <c r="E25" s="1" t="n">
        <v>46323</v>
      </c>
      <c r="F25" t="inlineStr">
        <is>
          <t>STOCKHOLMS LÄN</t>
        </is>
      </c>
      <c r="G25" t="inlineStr">
        <is>
          <t>SALEM</t>
        </is>
      </c>
      <c r="I25" t="n">
        <v>1.6</v>
      </c>
      <c r="J25" t="n">
        <v>0</v>
      </c>
      <c r="K25" t="n">
        <v>0</v>
      </c>
      <c r="L25" t="n">
        <v>0</v>
      </c>
      <c r="M25" t="n">
        <v>0</v>
      </c>
      <c r="N25" t="n">
        <v>0</v>
      </c>
      <c r="O25" t="n">
        <v>0</v>
      </c>
      <c r="P25" t="n">
        <v>0</v>
      </c>
      <c r="Q25" t="n">
        <v>0</v>
      </c>
      <c r="R25" t="n">
        <v>0</v>
      </c>
      <c r="S25" t="n">
        <v>0</v>
      </c>
      <c r="T25" t="n">
        <v>0</v>
      </c>
      <c r="U25" t="n">
        <v>0</v>
      </c>
      <c r="V25" s="2" t="inlineStr"/>
    </row>
    <row r="26" ht="15" customHeight="1">
      <c r="A26" t="inlineStr">
        <is>
          <t>A 33277-2025</t>
        </is>
      </c>
      <c r="B26" t="inlineStr">
        <is>
          <t>avverkningsanmälan</t>
        </is>
      </c>
      <c r="C26" t="inlineStr">
        <is>
          <t>Avverkning för att bevara och utveckla /försöksver</t>
        </is>
      </c>
      <c r="D26" s="1" t="n">
        <v>45839</v>
      </c>
      <c r="E26" s="1" t="n">
        <v>46323</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33455-2025</t>
        </is>
      </c>
      <c r="B27" t="inlineStr">
        <is>
          <t>avverkningsanmälan</t>
        </is>
      </c>
      <c r="C27" t="inlineStr">
        <is>
          <t>Avverkning för att bevara och utveckla /försöksver</t>
        </is>
      </c>
      <c r="D27" s="1" t="n">
        <v>45839</v>
      </c>
      <c r="E27" s="1" t="n">
        <v>46323</v>
      </c>
      <c r="F27" t="inlineStr">
        <is>
          <t>STOCKHOLMS LÄN</t>
        </is>
      </c>
      <c r="G27" t="inlineStr">
        <is>
          <t>SALEM</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33243-2025</t>
        </is>
      </c>
      <c r="B28" t="inlineStr">
        <is>
          <t>avverkningsanmälan</t>
        </is>
      </c>
      <c r="C28" t="inlineStr">
        <is>
          <t>Avverkning för att bevara och utveckla /försöksver</t>
        </is>
      </c>
      <c r="D28" s="1" t="n">
        <v>45839</v>
      </c>
      <c r="E28" s="1" t="n">
        <v>46323</v>
      </c>
      <c r="F28" t="inlineStr">
        <is>
          <t>STOCKHOLMS LÄN</t>
        </is>
      </c>
      <c r="G28" t="inlineStr">
        <is>
          <t>SALEM</t>
        </is>
      </c>
      <c r="I28" t="n">
        <v>2.7</v>
      </c>
      <c r="J28" t="n">
        <v>0</v>
      </c>
      <c r="K28" t="n">
        <v>0</v>
      </c>
      <c r="L28" t="n">
        <v>0</v>
      </c>
      <c r="M28" t="n">
        <v>0</v>
      </c>
      <c r="N28" t="n">
        <v>0</v>
      </c>
      <c r="O28" t="n">
        <v>0</v>
      </c>
      <c r="P28" t="n">
        <v>0</v>
      </c>
      <c r="Q28" t="n">
        <v>0</v>
      </c>
      <c r="R28" t="n">
        <v>0</v>
      </c>
      <c r="S28" t="n">
        <v>0</v>
      </c>
      <c r="T28" t="n">
        <v>0</v>
      </c>
      <c r="U28" t="n">
        <v>0</v>
      </c>
      <c r="V28" s="2" t="inlineStr"/>
    </row>
    <row r="29" ht="15" customHeight="1">
      <c r="A29" t="inlineStr">
        <is>
          <t>A 33251-2025</t>
        </is>
      </c>
      <c r="B29" t="inlineStr">
        <is>
          <t>avverkningsanmälan</t>
        </is>
      </c>
      <c r="C29" t="inlineStr">
        <is>
          <t>Avverkning för att bevara och utveckla /försöksver</t>
        </is>
      </c>
      <c r="D29" s="1" t="n">
        <v>45839</v>
      </c>
      <c r="E29" s="1" t="n">
        <v>46323</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33446-2025</t>
        </is>
      </c>
      <c r="B30" t="inlineStr">
        <is>
          <t>avverkningsanmälan</t>
        </is>
      </c>
      <c r="C30" t="inlineStr">
        <is>
          <t>Avverkning för att bevara och utveckla /försöksver</t>
        </is>
      </c>
      <c r="D30" s="1" t="n">
        <v>45839</v>
      </c>
      <c r="E30" s="1" t="n">
        <v>46323</v>
      </c>
      <c r="F30" t="inlineStr">
        <is>
          <t>STOCKHOLMS LÄN</t>
        </is>
      </c>
      <c r="G30" t="inlineStr">
        <is>
          <t>SALEM</t>
        </is>
      </c>
      <c r="I30" t="n">
        <v>9.4</v>
      </c>
      <c r="J30" t="n">
        <v>0</v>
      </c>
      <c r="K30" t="n">
        <v>0</v>
      </c>
      <c r="L30" t="n">
        <v>0</v>
      </c>
      <c r="M30" t="n">
        <v>0</v>
      </c>
      <c r="N30" t="n">
        <v>0</v>
      </c>
      <c r="O30" t="n">
        <v>0</v>
      </c>
      <c r="P30" t="n">
        <v>0</v>
      </c>
      <c r="Q30" t="n">
        <v>0</v>
      </c>
      <c r="R30" t="n">
        <v>0</v>
      </c>
      <c r="S30" t="n">
        <v>0</v>
      </c>
      <c r="T30" t="n">
        <v>0</v>
      </c>
      <c r="U30" t="n">
        <v>0</v>
      </c>
      <c r="V30" s="2" t="inlineStr"/>
    </row>
    <row r="31" ht="15" customHeight="1">
      <c r="A31" t="inlineStr">
        <is>
          <t>A 33421-2025</t>
        </is>
      </c>
      <c r="B31" t="inlineStr">
        <is>
          <t>avverkningsanmälan</t>
        </is>
      </c>
      <c r="C31" t="inlineStr">
        <is>
          <t>Avverkning för att bevara och utveckla /försöksver</t>
        </is>
      </c>
      <c r="D31" s="1" t="n">
        <v>45839</v>
      </c>
      <c r="E31" s="1" t="n">
        <v>46323</v>
      </c>
      <c r="F31" t="inlineStr">
        <is>
          <t>STOCKHOLMS LÄN</t>
        </is>
      </c>
      <c r="G31" t="inlineStr">
        <is>
          <t>SALEM</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33029-2025</t>
        </is>
      </c>
      <c r="B32" t="inlineStr">
        <is>
          <t>avverkningsanmälan</t>
        </is>
      </c>
      <c r="C32" t="inlineStr">
        <is>
          <t>Avverkning för att bevara och utveckla /försöksver</t>
        </is>
      </c>
      <c r="D32" s="1" t="n">
        <v>45839</v>
      </c>
      <c r="E32" s="1" t="n">
        <v>46323</v>
      </c>
      <c r="F32" t="inlineStr">
        <is>
          <t>STOCKHOLMS LÄN</t>
        </is>
      </c>
      <c r="G32" t="inlineStr">
        <is>
          <t>SALEM</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32960-2025</t>
        </is>
      </c>
      <c r="B33" t="inlineStr">
        <is>
          <t>avverkningsanmälan</t>
        </is>
      </c>
      <c r="C33" t="inlineStr">
        <is>
          <t>Avverkning för att bevara och utveckla /försöksver</t>
        </is>
      </c>
      <c r="D33" s="1" t="n">
        <v>45839</v>
      </c>
      <c r="E33" s="1" t="n">
        <v>46323</v>
      </c>
      <c r="F33" t="inlineStr">
        <is>
          <t>STOCKHOLMS LÄN</t>
        </is>
      </c>
      <c r="G33" t="inlineStr">
        <is>
          <t>SALEM</t>
        </is>
      </c>
      <c r="I33" t="n">
        <v>5.3</v>
      </c>
      <c r="J33" t="n">
        <v>0</v>
      </c>
      <c r="K33" t="n">
        <v>0</v>
      </c>
      <c r="L33" t="n">
        <v>0</v>
      </c>
      <c r="M33" t="n">
        <v>0</v>
      </c>
      <c r="N33" t="n">
        <v>0</v>
      </c>
      <c r="O33" t="n">
        <v>0</v>
      </c>
      <c r="P33" t="n">
        <v>0</v>
      </c>
      <c r="Q33" t="n">
        <v>0</v>
      </c>
      <c r="R33" t="n">
        <v>0</v>
      </c>
      <c r="S33" t="n">
        <v>0</v>
      </c>
      <c r="T33" t="n">
        <v>0</v>
      </c>
      <c r="U33" t="n">
        <v>0</v>
      </c>
      <c r="V33" s="2" t="inlineStr"/>
    </row>
    <row r="34" ht="15" customHeight="1">
      <c r="A34" t="inlineStr">
        <is>
          <t>A 32968-2025</t>
        </is>
      </c>
      <c r="B34" t="inlineStr">
        <is>
          <t>avverkningsanmälan</t>
        </is>
      </c>
      <c r="C34" t="inlineStr">
        <is>
          <t>Avverkning för att bevara och utveckla /försöksver</t>
        </is>
      </c>
      <c r="D34" s="1" t="n">
        <v>45839</v>
      </c>
      <c r="E34" s="1" t="n">
        <v>46323</v>
      </c>
      <c r="F34" t="inlineStr">
        <is>
          <t>STOCKHOLMS LÄN</t>
        </is>
      </c>
      <c r="G34" t="inlineStr">
        <is>
          <t>SALEM</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33441-2025</t>
        </is>
      </c>
      <c r="B35" t="inlineStr">
        <is>
          <t>avverkningsanmälan</t>
        </is>
      </c>
      <c r="C35" t="inlineStr">
        <is>
          <t>Avverkning för att bevara och utveckla /försöksver</t>
        </is>
      </c>
      <c r="D35" s="1" t="n">
        <v>45839</v>
      </c>
      <c r="E35" s="1" t="n">
        <v>46323</v>
      </c>
      <c r="F35" t="inlineStr">
        <is>
          <t>STOCKHOLMS LÄN</t>
        </is>
      </c>
      <c r="G35" t="inlineStr">
        <is>
          <t>SALEM</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33470-2025</t>
        </is>
      </c>
      <c r="B36" t="inlineStr">
        <is>
          <t>avverkningsanmälan</t>
        </is>
      </c>
      <c r="C36" t="inlineStr">
        <is>
          <t>Avverkning för att bevara och utveckla /försöksver</t>
        </is>
      </c>
      <c r="D36" s="1" t="n">
        <v>45839</v>
      </c>
      <c r="E36" s="1" t="n">
        <v>46323</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33284-2025</t>
        </is>
      </c>
      <c r="B37" t="inlineStr">
        <is>
          <t>avverkningsanmälan</t>
        </is>
      </c>
      <c r="C37" t="inlineStr">
        <is>
          <t>Avverkning för att bevara och utveckla /försöksver</t>
        </is>
      </c>
      <c r="D37" s="1" t="n">
        <v>45839</v>
      </c>
      <c r="E37" s="1" t="n">
        <v>46323</v>
      </c>
      <c r="F37" t="inlineStr">
        <is>
          <t>STOCKHOLMS LÄN</t>
        </is>
      </c>
      <c r="G37" t="inlineStr">
        <is>
          <t>SALEM</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32962-2025</t>
        </is>
      </c>
      <c r="B38" t="inlineStr">
        <is>
          <t>avverkningsanmälan</t>
        </is>
      </c>
      <c r="C38" t="inlineStr">
        <is>
          <t>Avverkning för att bevara och utveckla /försöksver</t>
        </is>
      </c>
      <c r="D38" s="1" t="n">
        <v>45839</v>
      </c>
      <c r="E38" s="1" t="n">
        <v>46323</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32942-2025</t>
        </is>
      </c>
      <c r="B39" t="inlineStr">
        <is>
          <t>avverkningsanmälan</t>
        </is>
      </c>
      <c r="C39" t="inlineStr">
        <is>
          <t>Avverkning för att bevara och utveckla /försöksver</t>
        </is>
      </c>
      <c r="D39" s="1" t="n">
        <v>45839</v>
      </c>
      <c r="E39" s="1" t="n">
        <v>46323</v>
      </c>
      <c r="F39" t="inlineStr">
        <is>
          <t>STOCKHOLMS LÄN</t>
        </is>
      </c>
      <c r="G39" t="inlineStr">
        <is>
          <t>SALEM</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32965-2025</t>
        </is>
      </c>
      <c r="B40" t="inlineStr">
        <is>
          <t>avverkningsanmälan</t>
        </is>
      </c>
      <c r="C40" t="inlineStr">
        <is>
          <t>Avverkning för att bevara och utveckla /försöksver</t>
        </is>
      </c>
      <c r="D40" s="1" t="n">
        <v>45839</v>
      </c>
      <c r="E40" s="1" t="n">
        <v>46323</v>
      </c>
      <c r="F40" t="inlineStr">
        <is>
          <t>STOCKHOLMS LÄN</t>
        </is>
      </c>
      <c r="G40" t="inlineStr">
        <is>
          <t>SALEM</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32970-2025</t>
        </is>
      </c>
      <c r="B41" t="inlineStr">
        <is>
          <t>avverkningsanmälan</t>
        </is>
      </c>
      <c r="C41" t="inlineStr">
        <is>
          <t>Avverkning för att bevara och utveckla /försöksver</t>
        </is>
      </c>
      <c r="D41" s="1" t="n">
        <v>45839</v>
      </c>
      <c r="E41" s="1" t="n">
        <v>46323</v>
      </c>
      <c r="F41" t="inlineStr">
        <is>
          <t>STOCKHOLMS LÄN</t>
        </is>
      </c>
      <c r="G41" t="inlineStr">
        <is>
          <t>SALEM</t>
        </is>
      </c>
      <c r="I41" t="n">
        <v>10.5</v>
      </c>
      <c r="J41" t="n">
        <v>0</v>
      </c>
      <c r="K41" t="n">
        <v>0</v>
      </c>
      <c r="L41" t="n">
        <v>0</v>
      </c>
      <c r="M41" t="n">
        <v>0</v>
      </c>
      <c r="N41" t="n">
        <v>0</v>
      </c>
      <c r="O41" t="n">
        <v>0</v>
      </c>
      <c r="P41" t="n">
        <v>0</v>
      </c>
      <c r="Q41" t="n">
        <v>0</v>
      </c>
      <c r="R41" t="n">
        <v>0</v>
      </c>
      <c r="S41" t="n">
        <v>0</v>
      </c>
      <c r="T41" t="n">
        <v>0</v>
      </c>
      <c r="U41" t="n">
        <v>0</v>
      </c>
      <c r="V41" s="2" t="inlineStr"/>
    </row>
    <row r="42" ht="15" customHeight="1">
      <c r="A42" t="inlineStr">
        <is>
          <t>A 33439-2025</t>
        </is>
      </c>
      <c r="B42" t="inlineStr">
        <is>
          <t>avverkningsanmälan</t>
        </is>
      </c>
      <c r="C42" t="inlineStr">
        <is>
          <t>Avverkning för att bevara och utveckla /försöksver</t>
        </is>
      </c>
      <c r="D42" s="1" t="n">
        <v>45839</v>
      </c>
      <c r="E42" s="1" t="n">
        <v>46323</v>
      </c>
      <c r="F42" t="inlineStr">
        <is>
          <t>STOCKHOLMS LÄN</t>
        </is>
      </c>
      <c r="G42" t="inlineStr">
        <is>
          <t>SALEM</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33460-2025</t>
        </is>
      </c>
      <c r="B43" t="inlineStr">
        <is>
          <t>avverkningsanmälan</t>
        </is>
      </c>
      <c r="C43" t="inlineStr">
        <is>
          <t>Avverkning för att bevara och utveckla /försöksver</t>
        </is>
      </c>
      <c r="D43" s="1" t="n">
        <v>45839</v>
      </c>
      <c r="E43" s="1" t="n">
        <v>46323</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33465-2025</t>
        </is>
      </c>
      <c r="B44" t="inlineStr">
        <is>
          <t>avverkningsanmälan</t>
        </is>
      </c>
      <c r="C44" t="inlineStr">
        <is>
          <t>Avverkning för att bevara och utveckla /försöksver</t>
        </is>
      </c>
      <c r="D44" s="1" t="n">
        <v>45839</v>
      </c>
      <c r="E44" s="1" t="n">
        <v>46323</v>
      </c>
      <c r="F44" t="inlineStr">
        <is>
          <t>STOCKHOLMS LÄN</t>
        </is>
      </c>
      <c r="G44" t="inlineStr">
        <is>
          <t>SALEM</t>
        </is>
      </c>
      <c r="I44" t="n">
        <v>1.6</v>
      </c>
      <c r="J44" t="n">
        <v>0</v>
      </c>
      <c r="K44" t="n">
        <v>0</v>
      </c>
      <c r="L44" t="n">
        <v>0</v>
      </c>
      <c r="M44" t="n">
        <v>0</v>
      </c>
      <c r="N44" t="n">
        <v>0</v>
      </c>
      <c r="O44" t="n">
        <v>0</v>
      </c>
      <c r="P44" t="n">
        <v>0</v>
      </c>
      <c r="Q44" t="n">
        <v>0</v>
      </c>
      <c r="R44" t="n">
        <v>0</v>
      </c>
      <c r="S44" t="n">
        <v>0</v>
      </c>
      <c r="T44" t="n">
        <v>0</v>
      </c>
      <c r="U44" t="n">
        <v>0</v>
      </c>
      <c r="V44" s="2" t="inlineStr"/>
    </row>
    <row r="45" ht="15" customHeight="1">
      <c r="A45" t="inlineStr">
        <is>
          <t>A 32953-2025</t>
        </is>
      </c>
      <c r="B45" t="inlineStr">
        <is>
          <t>avverkningsanmälan</t>
        </is>
      </c>
      <c r="C45" t="inlineStr">
        <is>
          <t>Avverkning för att bevara och utveckla /försöksver</t>
        </is>
      </c>
      <c r="D45" s="1" t="n">
        <v>45839</v>
      </c>
      <c r="E45" s="1" t="n">
        <v>46323</v>
      </c>
      <c r="F45" t="inlineStr">
        <is>
          <t>STOCKHOLMS LÄN</t>
        </is>
      </c>
      <c r="G45" t="inlineStr">
        <is>
          <t>SALEM</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46323</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46323</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2026-10-28T03:15:13Z</dcterms:created>
  <dcterms:modified xmlns:dcterms="http://purl.org/dc/terms/" xmlns:xsi="http://www.w3.org/2001/XMLSchema-instance" xsi:type="dcterms:W3CDTF">2026-10-28T03:15:13Z</dcterms:modified>
</cp:coreProperties>
</file>