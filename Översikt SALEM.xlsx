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45884</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2987-2023</t>
        </is>
      </c>
      <c r="B9" s="1" t="n">
        <v>44945</v>
      </c>
      <c r="C9" s="1" t="n">
        <v>45884</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47262-2024</t>
        </is>
      </c>
      <c r="B10" s="1" t="n">
        <v>45586</v>
      </c>
      <c r="C10" s="1" t="n">
        <v>45884</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41774-2020</t>
        </is>
      </c>
      <c r="B11" s="1" t="n">
        <v>44074</v>
      </c>
      <c r="C11" s="1" t="n">
        <v>45884</v>
      </c>
      <c r="D11" t="inlineStr">
        <is>
          <t>STOCKHOLMS LÄN</t>
        </is>
      </c>
      <c r="E11" t="inlineStr">
        <is>
          <t>SALEM</t>
        </is>
      </c>
      <c r="F11" t="inlineStr">
        <is>
          <t>Kommuner</t>
        </is>
      </c>
      <c r="G11" t="n">
        <v>3.1</v>
      </c>
      <c r="H11" t="n">
        <v>0</v>
      </c>
      <c r="I11" t="n">
        <v>0</v>
      </c>
      <c r="J11" t="n">
        <v>1</v>
      </c>
      <c r="K11" t="n">
        <v>0</v>
      </c>
      <c r="L11" t="n">
        <v>0</v>
      </c>
      <c r="M11" t="n">
        <v>0</v>
      </c>
      <c r="N11" t="n">
        <v>0</v>
      </c>
      <c r="O11" t="n">
        <v>1</v>
      </c>
      <c r="P11" t="n">
        <v>0</v>
      </c>
      <c r="Q11" t="n">
        <v>1</v>
      </c>
      <c r="R11" s="2" t="inlineStr">
        <is>
          <t>Tallticka</t>
        </is>
      </c>
      <c r="S11">
        <f>HYPERLINK("https://klasma.github.io/Logging_0128/artfynd/A 41774-2020 artfynd.xlsx", "A 41774-2020")</f>
        <v/>
      </c>
      <c r="T11">
        <f>HYPERLINK("https://klasma.github.io/Logging_0128/kartor/A 41774-2020 karta.png", "A 41774-2020")</f>
        <v/>
      </c>
      <c r="V11">
        <f>HYPERLINK("https://klasma.github.io/Logging_0128/klagomål/A 41774-2020 FSC-klagomål.docx", "A 41774-2020")</f>
        <v/>
      </c>
      <c r="W11">
        <f>HYPERLINK("https://klasma.github.io/Logging_0128/klagomålsmail/A 41774-2020 FSC-klagomål mail.docx", "A 41774-2020")</f>
        <v/>
      </c>
      <c r="X11">
        <f>HYPERLINK("https://klasma.github.io/Logging_0128/tillsyn/A 41774-2020 tillsynsbegäran.docx", "A 41774-2020")</f>
        <v/>
      </c>
      <c r="Y11">
        <f>HYPERLINK("https://klasma.github.io/Logging_0128/tillsynsmail/A 41774-2020 tillsynsbegäran mail.docx", "A 41774-2020")</f>
        <v/>
      </c>
    </row>
    <row r="12" ht="15" customHeight="1">
      <c r="A12" t="inlineStr">
        <is>
          <t>A 33411-2025</t>
        </is>
      </c>
      <c r="B12" s="1" t="n">
        <v>45839</v>
      </c>
      <c r="C12" s="1" t="n">
        <v>45884</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32951-2025</t>
        </is>
      </c>
      <c r="B13" s="1" t="n">
        <v>45839</v>
      </c>
      <c r="C13" s="1" t="n">
        <v>45884</v>
      </c>
      <c r="D13" t="inlineStr">
        <is>
          <t>STOCKHOLMS LÄN</t>
        </is>
      </c>
      <c r="E13" t="inlineStr">
        <is>
          <t>SALEM</t>
        </is>
      </c>
      <c r="G13" t="n">
        <v>2.6</v>
      </c>
      <c r="H13" t="n">
        <v>0</v>
      </c>
      <c r="I13" t="n">
        <v>0</v>
      </c>
      <c r="J13" t="n">
        <v>1</v>
      </c>
      <c r="K13" t="n">
        <v>0</v>
      </c>
      <c r="L13" t="n">
        <v>0</v>
      </c>
      <c r="M13" t="n">
        <v>0</v>
      </c>
      <c r="N13" t="n">
        <v>0</v>
      </c>
      <c r="O13" t="n">
        <v>1</v>
      </c>
      <c r="P13" t="n">
        <v>0</v>
      </c>
      <c r="Q13" t="n">
        <v>1</v>
      </c>
      <c r="R13" s="2" t="inlineStr">
        <is>
          <t>Etternässla</t>
        </is>
      </c>
      <c r="S13">
        <f>HYPERLINK("https://klasma.github.io/Logging_0128/artfynd/A 32951-2025 artfynd.xlsx", "A 32951-2025")</f>
        <v/>
      </c>
      <c r="T13">
        <f>HYPERLINK("https://klasma.github.io/Logging_0128/kartor/A 32951-2025 karta.png", "A 32951-2025")</f>
        <v/>
      </c>
      <c r="V13">
        <f>HYPERLINK("https://klasma.github.io/Logging_0128/klagomål/A 32951-2025 FSC-klagomål.docx", "A 32951-2025")</f>
        <v/>
      </c>
      <c r="W13">
        <f>HYPERLINK("https://klasma.github.io/Logging_0128/klagomålsmail/A 32951-2025 FSC-klagomål mail.docx", "A 32951-2025")</f>
        <v/>
      </c>
      <c r="X13">
        <f>HYPERLINK("https://klasma.github.io/Logging_0128/tillsyn/A 32951-2025 tillsynsbegäran.docx", "A 32951-2025")</f>
        <v/>
      </c>
      <c r="Y13">
        <f>HYPERLINK("https://klasma.github.io/Logging_0128/tillsynsmail/A 32951-2025 tillsynsbegäran mail.docx", "A 32951-2025")</f>
        <v/>
      </c>
    </row>
    <row r="14" ht="15" customHeight="1">
      <c r="A14" t="inlineStr">
        <is>
          <t>A 13351-2021</t>
        </is>
      </c>
      <c r="B14" s="1" t="n">
        <v>44273</v>
      </c>
      <c r="C14" s="1" t="n">
        <v>45884</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45884</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41718-2020</t>
        </is>
      </c>
      <c r="B16" s="1" t="n">
        <v>44074</v>
      </c>
      <c r="C16" s="1" t="n">
        <v>45884</v>
      </c>
      <c r="D16" t="inlineStr">
        <is>
          <t>STOCKHOLMS LÄN</t>
        </is>
      </c>
      <c r="E16" t="inlineStr">
        <is>
          <t>SALEM</t>
        </is>
      </c>
      <c r="F16" t="inlineStr">
        <is>
          <t>Kommuner</t>
        </is>
      </c>
      <c r="G16" t="n">
        <v>3.3</v>
      </c>
      <c r="H16" t="n">
        <v>0</v>
      </c>
      <c r="I16" t="n">
        <v>0</v>
      </c>
      <c r="J16" t="n">
        <v>0</v>
      </c>
      <c r="K16" t="n">
        <v>0</v>
      </c>
      <c r="L16" t="n">
        <v>0</v>
      </c>
      <c r="M16" t="n">
        <v>0</v>
      </c>
      <c r="N16" t="n">
        <v>0</v>
      </c>
      <c r="O16" t="n">
        <v>0</v>
      </c>
      <c r="P16" t="n">
        <v>0</v>
      </c>
      <c r="Q16" t="n">
        <v>0</v>
      </c>
      <c r="R16" s="2" t="inlineStr"/>
    </row>
    <row r="17" ht="15" customHeight="1">
      <c r="A17" t="inlineStr">
        <is>
          <t>A 28838-2021</t>
        </is>
      </c>
      <c r="B17" s="1" t="n">
        <v>44357</v>
      </c>
      <c r="C17" s="1" t="n">
        <v>45884</v>
      </c>
      <c r="D17" t="inlineStr">
        <is>
          <t>STOCKHOLMS LÄN</t>
        </is>
      </c>
      <c r="E17" t="inlineStr">
        <is>
          <t>SALEM</t>
        </is>
      </c>
      <c r="G17" t="n">
        <v>6.4</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45884</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45884</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45884</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45884</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33262-2021</t>
        </is>
      </c>
      <c r="B22" s="1" t="n">
        <v>44377.35033564815</v>
      </c>
      <c r="C22" s="1" t="n">
        <v>45884</v>
      </c>
      <c r="D22" t="inlineStr">
        <is>
          <t>STOCKHOLMS LÄN</t>
        </is>
      </c>
      <c r="E22" t="inlineStr">
        <is>
          <t>SALEM</t>
        </is>
      </c>
      <c r="G22" t="n">
        <v>0.7</v>
      </c>
      <c r="H22" t="n">
        <v>0</v>
      </c>
      <c r="I22" t="n">
        <v>0</v>
      </c>
      <c r="J22" t="n">
        <v>0</v>
      </c>
      <c r="K22" t="n">
        <v>0</v>
      </c>
      <c r="L22" t="n">
        <v>0</v>
      </c>
      <c r="M22" t="n">
        <v>0</v>
      </c>
      <c r="N22" t="n">
        <v>0</v>
      </c>
      <c r="O22" t="n">
        <v>0</v>
      </c>
      <c r="P22" t="n">
        <v>0</v>
      </c>
      <c r="Q22" t="n">
        <v>0</v>
      </c>
      <c r="R22" s="2" t="inlineStr"/>
    </row>
    <row r="23" ht="15" customHeight="1">
      <c r="A23" t="inlineStr">
        <is>
          <t>A 41923-2020</t>
        </is>
      </c>
      <c r="B23" s="1" t="n">
        <v>44075</v>
      </c>
      <c r="C23" s="1" t="n">
        <v>45884</v>
      </c>
      <c r="D23" t="inlineStr">
        <is>
          <t>STOCKHOLMS LÄN</t>
        </is>
      </c>
      <c r="E23" t="inlineStr">
        <is>
          <t>SALEM</t>
        </is>
      </c>
      <c r="F23" t="inlineStr">
        <is>
          <t>Kommuner</t>
        </is>
      </c>
      <c r="G23" t="n">
        <v>1.3</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45884</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45884</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45884</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45884</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45884</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33246-2021</t>
        </is>
      </c>
      <c r="B29" s="1" t="n">
        <v>44377</v>
      </c>
      <c r="C29" s="1" t="n">
        <v>45884</v>
      </c>
      <c r="D29" t="inlineStr">
        <is>
          <t>STOCKHOLMS LÄN</t>
        </is>
      </c>
      <c r="E29" t="inlineStr">
        <is>
          <t>SALEM</t>
        </is>
      </c>
      <c r="G29" t="n">
        <v>3.4</v>
      </c>
      <c r="H29" t="n">
        <v>0</v>
      </c>
      <c r="I29" t="n">
        <v>0</v>
      </c>
      <c r="J29" t="n">
        <v>0</v>
      </c>
      <c r="K29" t="n">
        <v>0</v>
      </c>
      <c r="L29" t="n">
        <v>0</v>
      </c>
      <c r="M29" t="n">
        <v>0</v>
      </c>
      <c r="N29" t="n">
        <v>0</v>
      </c>
      <c r="O29" t="n">
        <v>0</v>
      </c>
      <c r="P29" t="n">
        <v>0</v>
      </c>
      <c r="Q29" t="n">
        <v>0</v>
      </c>
      <c r="R29" s="2" t="inlineStr"/>
    </row>
    <row r="30" ht="15" customHeight="1">
      <c r="A30" t="inlineStr">
        <is>
          <t>A 46919-2023</t>
        </is>
      </c>
      <c r="B30" s="1" t="n">
        <v>45201</v>
      </c>
      <c r="C30" s="1" t="n">
        <v>45884</v>
      </c>
      <c r="D30" t="inlineStr">
        <is>
          <t>STOCKHOLMS LÄN</t>
        </is>
      </c>
      <c r="E30" t="inlineStr">
        <is>
          <t>SALEM</t>
        </is>
      </c>
      <c r="F30" t="inlineStr">
        <is>
          <t>Kommuner</t>
        </is>
      </c>
      <c r="G30" t="n">
        <v>1.3</v>
      </c>
      <c r="H30" t="n">
        <v>0</v>
      </c>
      <c r="I30" t="n">
        <v>0</v>
      </c>
      <c r="J30" t="n">
        <v>0</v>
      </c>
      <c r="K30" t="n">
        <v>0</v>
      </c>
      <c r="L30" t="n">
        <v>0</v>
      </c>
      <c r="M30" t="n">
        <v>0</v>
      </c>
      <c r="N30" t="n">
        <v>0</v>
      </c>
      <c r="O30" t="n">
        <v>0</v>
      </c>
      <c r="P30" t="n">
        <v>0</v>
      </c>
      <c r="Q30" t="n">
        <v>0</v>
      </c>
      <c r="R30" s="2" t="inlineStr"/>
    </row>
    <row r="31" ht="15" customHeight="1">
      <c r="A31" t="inlineStr">
        <is>
          <t>A 504-2023</t>
        </is>
      </c>
      <c r="B31" s="1" t="n">
        <v>44930</v>
      </c>
      <c r="C31" s="1" t="n">
        <v>45884</v>
      </c>
      <c r="D31" t="inlineStr">
        <is>
          <t>STOCKHOLMS LÄN</t>
        </is>
      </c>
      <c r="E31" t="inlineStr">
        <is>
          <t>SALEM</t>
        </is>
      </c>
      <c r="F31" t="inlineStr">
        <is>
          <t>Kommuner</t>
        </is>
      </c>
      <c r="G31" t="n">
        <v>2</v>
      </c>
      <c r="H31" t="n">
        <v>0</v>
      </c>
      <c r="I31" t="n">
        <v>0</v>
      </c>
      <c r="J31" t="n">
        <v>0</v>
      </c>
      <c r="K31" t="n">
        <v>0</v>
      </c>
      <c r="L31" t="n">
        <v>0</v>
      </c>
      <c r="M31" t="n">
        <v>0</v>
      </c>
      <c r="N31" t="n">
        <v>0</v>
      </c>
      <c r="O31" t="n">
        <v>0</v>
      </c>
      <c r="P31" t="n">
        <v>0</v>
      </c>
      <c r="Q31" t="n">
        <v>0</v>
      </c>
      <c r="R31" s="2" t="inlineStr"/>
    </row>
    <row r="32" ht="15" customHeight="1">
      <c r="A32" t="inlineStr">
        <is>
          <t>A 58592-2023</t>
        </is>
      </c>
      <c r="B32" s="1" t="n">
        <v>45251</v>
      </c>
      <c r="C32" s="1" t="n">
        <v>45884</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45884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33029-2025</t>
        </is>
      </c>
      <c r="B34" s="1" t="n">
        <v>45839</v>
      </c>
      <c r="C34" s="1" t="n">
        <v>45884</v>
      </c>
      <c r="D34" t="inlineStr">
        <is>
          <t>STOCKHOLMS LÄN</t>
        </is>
      </c>
      <c r="E34" t="inlineStr">
        <is>
          <t>SALEM</t>
        </is>
      </c>
      <c r="G34" t="n">
        <v>1.5</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45884</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45884</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45884</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33277-2025</t>
        </is>
      </c>
      <c r="B38" s="1" t="n">
        <v>45839</v>
      </c>
      <c r="C38" s="1" t="n">
        <v>45884</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45884</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32960-2025</t>
        </is>
      </c>
      <c r="B40" s="1" t="n">
        <v>45839</v>
      </c>
      <c r="C40" s="1" t="n">
        <v>45884</v>
      </c>
      <c r="D40" t="inlineStr">
        <is>
          <t>STOCKHOLMS LÄN</t>
        </is>
      </c>
      <c r="E40" t="inlineStr">
        <is>
          <t>SALEM</t>
        </is>
      </c>
      <c r="G40" t="n">
        <v>5.3</v>
      </c>
      <c r="H40" t="n">
        <v>0</v>
      </c>
      <c r="I40" t="n">
        <v>0</v>
      </c>
      <c r="J40" t="n">
        <v>0</v>
      </c>
      <c r="K40" t="n">
        <v>0</v>
      </c>
      <c r="L40" t="n">
        <v>0</v>
      </c>
      <c r="M40" t="n">
        <v>0</v>
      </c>
      <c r="N40" t="n">
        <v>0</v>
      </c>
      <c r="O40" t="n">
        <v>0</v>
      </c>
      <c r="P40" t="n">
        <v>0</v>
      </c>
      <c r="Q40" t="n">
        <v>0</v>
      </c>
      <c r="R40" s="2" t="inlineStr"/>
    </row>
    <row r="41" ht="15" customHeight="1">
      <c r="A41" t="inlineStr">
        <is>
          <t>A 32968-2025</t>
        </is>
      </c>
      <c r="B41" s="1" t="n">
        <v>45839</v>
      </c>
      <c r="C41" s="1" t="n">
        <v>45884</v>
      </c>
      <c r="D41" t="inlineStr">
        <is>
          <t>STOCKHOLMS LÄN</t>
        </is>
      </c>
      <c r="E41" t="inlineStr">
        <is>
          <t>SALEM</t>
        </is>
      </c>
      <c r="G41" t="n">
        <v>1.1</v>
      </c>
      <c r="H41" t="n">
        <v>0</v>
      </c>
      <c r="I41" t="n">
        <v>0</v>
      </c>
      <c r="J41" t="n">
        <v>0</v>
      </c>
      <c r="K41" t="n">
        <v>0</v>
      </c>
      <c r="L41" t="n">
        <v>0</v>
      </c>
      <c r="M41" t="n">
        <v>0</v>
      </c>
      <c r="N41" t="n">
        <v>0</v>
      </c>
      <c r="O41" t="n">
        <v>0</v>
      </c>
      <c r="P41" t="n">
        <v>0</v>
      </c>
      <c r="Q41" t="n">
        <v>0</v>
      </c>
      <c r="R41" s="2" t="inlineStr"/>
    </row>
    <row r="42" ht="15" customHeight="1">
      <c r="A42" t="inlineStr">
        <is>
          <t>A 32942-2025</t>
        </is>
      </c>
      <c r="B42" s="1" t="n">
        <v>45839</v>
      </c>
      <c r="C42" s="1" t="n">
        <v>45884</v>
      </c>
      <c r="D42" t="inlineStr">
        <is>
          <t>STOCKHOLMS LÄN</t>
        </is>
      </c>
      <c r="E42" t="inlineStr">
        <is>
          <t>SALEM</t>
        </is>
      </c>
      <c r="G42" t="n">
        <v>1.4</v>
      </c>
      <c r="H42" t="n">
        <v>0</v>
      </c>
      <c r="I42" t="n">
        <v>0</v>
      </c>
      <c r="J42" t="n">
        <v>0</v>
      </c>
      <c r="K42" t="n">
        <v>0</v>
      </c>
      <c r="L42" t="n">
        <v>0</v>
      </c>
      <c r="M42" t="n">
        <v>0</v>
      </c>
      <c r="N42" t="n">
        <v>0</v>
      </c>
      <c r="O42" t="n">
        <v>0</v>
      </c>
      <c r="P42" t="n">
        <v>0</v>
      </c>
      <c r="Q42" t="n">
        <v>0</v>
      </c>
      <c r="R42" s="2" t="inlineStr"/>
    </row>
    <row r="43" ht="15" customHeight="1">
      <c r="A43" t="inlineStr">
        <is>
          <t>A 32965-2025</t>
        </is>
      </c>
      <c r="B43" s="1" t="n">
        <v>45839</v>
      </c>
      <c r="C43" s="1" t="n">
        <v>45884</v>
      </c>
      <c r="D43" t="inlineStr">
        <is>
          <t>STOCKHOLMS LÄN</t>
        </is>
      </c>
      <c r="E43" t="inlineStr">
        <is>
          <t>SALEM</t>
        </is>
      </c>
      <c r="G43" t="n">
        <v>2.8</v>
      </c>
      <c r="H43" t="n">
        <v>0</v>
      </c>
      <c r="I43" t="n">
        <v>0</v>
      </c>
      <c r="J43" t="n">
        <v>0</v>
      </c>
      <c r="K43" t="n">
        <v>0</v>
      </c>
      <c r="L43" t="n">
        <v>0</v>
      </c>
      <c r="M43" t="n">
        <v>0</v>
      </c>
      <c r="N43" t="n">
        <v>0</v>
      </c>
      <c r="O43" t="n">
        <v>0</v>
      </c>
      <c r="P43" t="n">
        <v>0</v>
      </c>
      <c r="Q43" t="n">
        <v>0</v>
      </c>
      <c r="R43" s="2" t="inlineStr"/>
    </row>
    <row r="44" ht="15" customHeight="1">
      <c r="A44" t="inlineStr">
        <is>
          <t>A 32970-2025</t>
        </is>
      </c>
      <c r="B44" s="1" t="n">
        <v>45839</v>
      </c>
      <c r="C44" s="1" t="n">
        <v>45884</v>
      </c>
      <c r="D44" t="inlineStr">
        <is>
          <t>STOCKHOLMS LÄN</t>
        </is>
      </c>
      <c r="E44" t="inlineStr">
        <is>
          <t>SALEM</t>
        </is>
      </c>
      <c r="G44" t="n">
        <v>10.5</v>
      </c>
      <c r="H44" t="n">
        <v>0</v>
      </c>
      <c r="I44" t="n">
        <v>0</v>
      </c>
      <c r="J44" t="n">
        <v>0</v>
      </c>
      <c r="K44" t="n">
        <v>0</v>
      </c>
      <c r="L44" t="n">
        <v>0</v>
      </c>
      <c r="M44" t="n">
        <v>0</v>
      </c>
      <c r="N44" t="n">
        <v>0</v>
      </c>
      <c r="O44" t="n">
        <v>0</v>
      </c>
      <c r="P44" t="n">
        <v>0</v>
      </c>
      <c r="Q44" t="n">
        <v>0</v>
      </c>
      <c r="R44" s="2" t="inlineStr"/>
    </row>
    <row r="45" ht="15" customHeight="1">
      <c r="A45" t="inlineStr">
        <is>
          <t>A 33281-2025</t>
        </is>
      </c>
      <c r="B45" s="1" t="n">
        <v>45839</v>
      </c>
      <c r="C45" s="1" t="n">
        <v>45884</v>
      </c>
      <c r="D45" t="inlineStr">
        <is>
          <t>STOCKHOLMS LÄN</t>
        </is>
      </c>
      <c r="E45" t="inlineStr">
        <is>
          <t>SALEM</t>
        </is>
      </c>
      <c r="G45" t="n">
        <v>2.6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45884</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33470-2025</t>
        </is>
      </c>
      <c r="B47" s="1" t="n">
        <v>45839</v>
      </c>
      <c r="C47" s="1" t="n">
        <v>45884</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33441-2025</t>
        </is>
      </c>
      <c r="B48" s="1" t="n">
        <v>45839</v>
      </c>
      <c r="C48" s="1" t="n">
        <v>45884</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33428-2025</t>
        </is>
      </c>
      <c r="B49" s="1" t="n">
        <v>45839</v>
      </c>
      <c r="C49" s="1" t="n">
        <v>45884</v>
      </c>
      <c r="D49" t="inlineStr">
        <is>
          <t>STOCKHOLMS LÄN</t>
        </is>
      </c>
      <c r="E49" t="inlineStr">
        <is>
          <t>SALEM</t>
        </is>
      </c>
      <c r="G49" t="n">
        <v>2.2</v>
      </c>
      <c r="H49" t="n">
        <v>0</v>
      </c>
      <c r="I49" t="n">
        <v>0</v>
      </c>
      <c r="J49" t="n">
        <v>0</v>
      </c>
      <c r="K49" t="n">
        <v>0</v>
      </c>
      <c r="L49" t="n">
        <v>0</v>
      </c>
      <c r="M49" t="n">
        <v>0</v>
      </c>
      <c r="N49" t="n">
        <v>0</v>
      </c>
      <c r="O49" t="n">
        <v>0</v>
      </c>
      <c r="P49" t="n">
        <v>0</v>
      </c>
      <c r="Q49" t="n">
        <v>0</v>
      </c>
      <c r="R49" s="2" t="inlineStr"/>
    </row>
    <row r="50" ht="15" customHeight="1">
      <c r="A50" t="inlineStr">
        <is>
          <t>A 33439-2025</t>
        </is>
      </c>
      <c r="B50" s="1" t="n">
        <v>45839</v>
      </c>
      <c r="C50" s="1" t="n">
        <v>45884</v>
      </c>
      <c r="D50" t="inlineStr">
        <is>
          <t>STOCKHOLMS LÄN</t>
        </is>
      </c>
      <c r="E50" t="inlineStr">
        <is>
          <t>SALEM</t>
        </is>
      </c>
      <c r="G50" t="n">
        <v>2.9</v>
      </c>
      <c r="H50" t="n">
        <v>0</v>
      </c>
      <c r="I50" t="n">
        <v>0</v>
      </c>
      <c r="J50" t="n">
        <v>0</v>
      </c>
      <c r="K50" t="n">
        <v>0</v>
      </c>
      <c r="L50" t="n">
        <v>0</v>
      </c>
      <c r="M50" t="n">
        <v>0</v>
      </c>
      <c r="N50" t="n">
        <v>0</v>
      </c>
      <c r="O50" t="n">
        <v>0</v>
      </c>
      <c r="P50" t="n">
        <v>0</v>
      </c>
      <c r="Q50" t="n">
        <v>0</v>
      </c>
      <c r="R50" s="2" t="inlineStr"/>
    </row>
    <row r="51" ht="15" customHeight="1">
      <c r="A51" t="inlineStr">
        <is>
          <t>A 33458-2025</t>
        </is>
      </c>
      <c r="B51" s="1" t="n">
        <v>45839</v>
      </c>
      <c r="C51" s="1" t="n">
        <v>45884</v>
      </c>
      <c r="D51" t="inlineStr">
        <is>
          <t>STOCKHOLMS LÄN</t>
        </is>
      </c>
      <c r="E51" t="inlineStr">
        <is>
          <t>SALEM</t>
        </is>
      </c>
      <c r="G51" t="n">
        <v>0.8</v>
      </c>
      <c r="H51" t="n">
        <v>0</v>
      </c>
      <c r="I51" t="n">
        <v>0</v>
      </c>
      <c r="J51" t="n">
        <v>0</v>
      </c>
      <c r="K51" t="n">
        <v>0</v>
      </c>
      <c r="L51" t="n">
        <v>0</v>
      </c>
      <c r="M51" t="n">
        <v>0</v>
      </c>
      <c r="N51" t="n">
        <v>0</v>
      </c>
      <c r="O51" t="n">
        <v>0</v>
      </c>
      <c r="P51" t="n">
        <v>0</v>
      </c>
      <c r="Q51" t="n">
        <v>0</v>
      </c>
      <c r="R51" s="2" t="inlineStr"/>
    </row>
    <row r="52" ht="15" customHeight="1">
      <c r="A52" t="inlineStr">
        <is>
          <t>A 33460-2025</t>
        </is>
      </c>
      <c r="B52" s="1" t="n">
        <v>45839</v>
      </c>
      <c r="C52" s="1" t="n">
        <v>45884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33465-2025</t>
        </is>
      </c>
      <c r="B53" s="1" t="n">
        <v>45839</v>
      </c>
      <c r="C53" s="1" t="n">
        <v>45884</v>
      </c>
      <c r="D53" t="inlineStr">
        <is>
          <t>STOCKHOLMS LÄN</t>
        </is>
      </c>
      <c r="E53" t="inlineStr">
        <is>
          <t>SALEM</t>
        </is>
      </c>
      <c r="G53" t="n">
        <v>1.6</v>
      </c>
      <c r="H53" t="n">
        <v>0</v>
      </c>
      <c r="I53" t="n">
        <v>0</v>
      </c>
      <c r="J53" t="n">
        <v>0</v>
      </c>
      <c r="K53" t="n">
        <v>0</v>
      </c>
      <c r="L53" t="n">
        <v>0</v>
      </c>
      <c r="M53" t="n">
        <v>0</v>
      </c>
      <c r="N53" t="n">
        <v>0</v>
      </c>
      <c r="O53" t="n">
        <v>0</v>
      </c>
      <c r="P53" t="n">
        <v>0</v>
      </c>
      <c r="Q53" t="n">
        <v>0</v>
      </c>
      <c r="R53" s="2" t="inlineStr"/>
    </row>
    <row r="54" ht="15" customHeight="1">
      <c r="A54" t="inlineStr">
        <is>
          <t>A 32946-2025</t>
        </is>
      </c>
      <c r="B54" s="1" t="n">
        <v>45839</v>
      </c>
      <c r="C54" s="1" t="n">
        <v>45884</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33421-2025</t>
        </is>
      </c>
      <c r="B55" s="1" t="n">
        <v>45839</v>
      </c>
      <c r="C55" s="1" t="n">
        <v>45884</v>
      </c>
      <c r="D55" t="inlineStr">
        <is>
          <t>STOCKHOLMS LÄN</t>
        </is>
      </c>
      <c r="E55" t="inlineStr">
        <is>
          <t>SALEM</t>
        </is>
      </c>
      <c r="G55" t="n">
        <v>1</v>
      </c>
      <c r="H55" t="n">
        <v>0</v>
      </c>
      <c r="I55" t="n">
        <v>0</v>
      </c>
      <c r="J55" t="n">
        <v>0</v>
      </c>
      <c r="K55" t="n">
        <v>0</v>
      </c>
      <c r="L55" t="n">
        <v>0</v>
      </c>
      <c r="M55" t="n">
        <v>0</v>
      </c>
      <c r="N55" t="n">
        <v>0</v>
      </c>
      <c r="O55" t="n">
        <v>0</v>
      </c>
      <c r="P55" t="n">
        <v>0</v>
      </c>
      <c r="Q55" t="n">
        <v>0</v>
      </c>
      <c r="R55" s="2" t="inlineStr"/>
    </row>
    <row r="56" ht="15" customHeight="1">
      <c r="A56" t="inlineStr">
        <is>
          <t>A 33446-2025</t>
        </is>
      </c>
      <c r="B56" s="1" t="n">
        <v>45839</v>
      </c>
      <c r="C56" s="1" t="n">
        <v>45884</v>
      </c>
      <c r="D56" t="inlineStr">
        <is>
          <t>STOCKHOLMS LÄN</t>
        </is>
      </c>
      <c r="E56" t="inlineStr">
        <is>
          <t>SALEM</t>
        </is>
      </c>
      <c r="G56" t="n">
        <v>9.4</v>
      </c>
      <c r="H56" t="n">
        <v>0</v>
      </c>
      <c r="I56" t="n">
        <v>0</v>
      </c>
      <c r="J56" t="n">
        <v>0</v>
      </c>
      <c r="K56" t="n">
        <v>0</v>
      </c>
      <c r="L56" t="n">
        <v>0</v>
      </c>
      <c r="M56" t="n">
        <v>0</v>
      </c>
      <c r="N56" t="n">
        <v>0</v>
      </c>
      <c r="O56" t="n">
        <v>0</v>
      </c>
      <c r="P56" t="n">
        <v>0</v>
      </c>
      <c r="Q56" t="n">
        <v>0</v>
      </c>
      <c r="R56" s="2" t="inlineStr"/>
    </row>
    <row r="57" ht="15" customHeight="1">
      <c r="A57" t="inlineStr">
        <is>
          <t>A 33473-2025</t>
        </is>
      </c>
      <c r="B57" s="1" t="n">
        <v>45839</v>
      </c>
      <c r="C57" s="1" t="n">
        <v>45884</v>
      </c>
      <c r="D57" t="inlineStr">
        <is>
          <t>STOCKHOLMS LÄN</t>
        </is>
      </c>
      <c r="E57" t="inlineStr">
        <is>
          <t>SALEM</t>
        </is>
      </c>
      <c r="G57" t="n">
        <v>5.7</v>
      </c>
      <c r="H57" t="n">
        <v>0</v>
      </c>
      <c r="I57" t="n">
        <v>0</v>
      </c>
      <c r="J57" t="n">
        <v>0</v>
      </c>
      <c r="K57" t="n">
        <v>0</v>
      </c>
      <c r="L57" t="n">
        <v>0</v>
      </c>
      <c r="M57" t="n">
        <v>0</v>
      </c>
      <c r="N57" t="n">
        <v>0</v>
      </c>
      <c r="O57" t="n">
        <v>0</v>
      </c>
      <c r="P57" t="n">
        <v>0</v>
      </c>
      <c r="Q57" t="n">
        <v>0</v>
      </c>
      <c r="R57" s="2" t="inlineStr"/>
    </row>
    <row r="58">
      <c r="A58" t="inlineStr">
        <is>
          <t>A 29982-2025</t>
        </is>
      </c>
      <c r="B58" s="1" t="n">
        <v>45826</v>
      </c>
      <c r="C58" s="1" t="n">
        <v>45884</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2025-08-15T08:29:20Z</dcterms:created>
  <dcterms:modified xmlns:dcterms="http://purl.org/dc/terms/" xmlns:xsi="http://www.w3.org/2001/XMLSchema-instance" xsi:type="dcterms:W3CDTF">2025-08-15T08:29:20Z</dcterms:modified>
</cp:coreProperties>
</file>