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46200</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46200</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46200</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46200</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46200</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46200</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46200</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46200</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2987-2023</t>
        </is>
      </c>
      <c r="B10" s="1" t="n">
        <v>44945</v>
      </c>
      <c r="C10" s="1" t="n">
        <v>46200</v>
      </c>
      <c r="D10" t="inlineStr">
        <is>
          <t>STOCKHOLMS LÄN</t>
        </is>
      </c>
      <c r="E10" t="inlineStr">
        <is>
          <t>SALEM</t>
        </is>
      </c>
      <c r="F10" t="inlineStr">
        <is>
          <t>Kommuner</t>
        </is>
      </c>
      <c r="G10" t="n">
        <v>6.2</v>
      </c>
      <c r="H10" t="n">
        <v>0</v>
      </c>
      <c r="I10" t="n">
        <v>0</v>
      </c>
      <c r="J10" t="n">
        <v>1</v>
      </c>
      <c r="K10" t="n">
        <v>0</v>
      </c>
      <c r="L10" t="n">
        <v>0</v>
      </c>
      <c r="M10" t="n">
        <v>0</v>
      </c>
      <c r="N10" t="n">
        <v>0</v>
      </c>
      <c r="O10" t="n">
        <v>1</v>
      </c>
      <c r="P10" t="n">
        <v>0</v>
      </c>
      <c r="Q10" t="n">
        <v>1</v>
      </c>
      <c r="R10" s="2" t="inlineStr">
        <is>
          <t>Tallticka</t>
        </is>
      </c>
      <c r="S10">
        <f>HYPERLINK("https://klasma.github.io/Logging_0128/artfynd/A 2987-2023 artfynd.xlsx", "A 2987-2023")</f>
        <v/>
      </c>
      <c r="T10">
        <f>HYPERLINK("https://klasma.github.io/Logging_0128/kartor/A 2987-2023 karta.png", "A 2987-2023")</f>
        <v/>
      </c>
      <c r="V10">
        <f>HYPERLINK("https://klasma.github.io/Logging_0128/klagomål/A 2987-2023 FSC-klagomål.docx", "A 2987-2023")</f>
        <v/>
      </c>
      <c r="W10">
        <f>HYPERLINK("https://klasma.github.io/Logging_0128/klagomålsmail/A 2987-2023 FSC-klagomål mail.docx", "A 2987-2023")</f>
        <v/>
      </c>
      <c r="X10">
        <f>HYPERLINK("https://klasma.github.io/Logging_0128/tillsyn/A 2987-2023 tillsynsbegäran.docx", "A 2987-2023")</f>
        <v/>
      </c>
      <c r="Y10">
        <f>HYPERLINK("https://klasma.github.io/Logging_0128/tillsynsmail/A 2987-2023 tillsynsbegäran mail.docx", "A 2987-2023")</f>
        <v/>
      </c>
    </row>
    <row r="11" ht="15" customHeight="1">
      <c r="A11" t="inlineStr">
        <is>
          <t>A 33473-2025</t>
        </is>
      </c>
      <c r="B11" s="1" t="n">
        <v>45839</v>
      </c>
      <c r="C11" s="1" t="n">
        <v>46200</v>
      </c>
      <c r="D11" t="inlineStr">
        <is>
          <t>STOCKHOLMS LÄN</t>
        </is>
      </c>
      <c r="E11" t="inlineStr">
        <is>
          <t>SALEM</t>
        </is>
      </c>
      <c r="G11" t="n">
        <v>5.7</v>
      </c>
      <c r="H11" t="n">
        <v>0</v>
      </c>
      <c r="I11" t="n">
        <v>0</v>
      </c>
      <c r="J11" t="n">
        <v>0</v>
      </c>
      <c r="K11" t="n">
        <v>1</v>
      </c>
      <c r="L11" t="n">
        <v>0</v>
      </c>
      <c r="M11" t="n">
        <v>0</v>
      </c>
      <c r="N11" t="n">
        <v>0</v>
      </c>
      <c r="O11" t="n">
        <v>1</v>
      </c>
      <c r="P11" t="n">
        <v>1</v>
      </c>
      <c r="Q11" t="n">
        <v>1</v>
      </c>
      <c r="R11" s="2" t="inlineStr">
        <is>
          <t>Igelkott</t>
        </is>
      </c>
      <c r="S11">
        <f>HYPERLINK("https://klasma.github.io/Logging_0128/artfynd/A 33473-2025 artfynd.xlsx", "A 33473-2025")</f>
        <v/>
      </c>
      <c r="T11">
        <f>HYPERLINK("https://klasma.github.io/Logging_0128/kartor/A 33473-2025 karta.png", "A 33473-2025")</f>
        <v/>
      </c>
      <c r="V11">
        <f>HYPERLINK("https://klasma.github.io/Logging_0128/klagomål/A 33473-2025 FSC-klagomål.docx", "A 33473-2025")</f>
        <v/>
      </c>
      <c r="W11">
        <f>HYPERLINK("https://klasma.github.io/Logging_0128/klagomålsmail/A 33473-2025 FSC-klagomål mail.docx", "A 33473-2025")</f>
        <v/>
      </c>
      <c r="X11">
        <f>HYPERLINK("https://klasma.github.io/Logging_0128/tillsyn/A 33473-2025 tillsynsbegäran.docx", "A 33473-2025")</f>
        <v/>
      </c>
      <c r="Y11">
        <f>HYPERLINK("https://klasma.github.io/Logging_0128/tillsynsmail/A 33473-2025 tillsynsbegäran mail.docx", "A 33473-2025")</f>
        <v/>
      </c>
    </row>
    <row r="12" ht="15" customHeight="1">
      <c r="A12" t="inlineStr">
        <is>
          <t>A 43893-2021</t>
        </is>
      </c>
      <c r="B12" s="1" t="n">
        <v>44434</v>
      </c>
      <c r="C12" s="1" t="n">
        <v>46200</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33246-2021</t>
        </is>
      </c>
      <c r="B13" s="1" t="n">
        <v>44377</v>
      </c>
      <c r="C13" s="1" t="n">
        <v>46200</v>
      </c>
      <c r="D13" t="inlineStr">
        <is>
          <t>STOCKHOLMS LÄN</t>
        </is>
      </c>
      <c r="E13" t="inlineStr">
        <is>
          <t>SALEM</t>
        </is>
      </c>
      <c r="G13" t="n">
        <v>3.4</v>
      </c>
      <c r="H13" t="n">
        <v>0</v>
      </c>
      <c r="I13" t="n">
        <v>0</v>
      </c>
      <c r="J13" t="n">
        <v>0</v>
      </c>
      <c r="K13" t="n">
        <v>0</v>
      </c>
      <c r="L13" t="n">
        <v>0</v>
      </c>
      <c r="M13" t="n">
        <v>0</v>
      </c>
      <c r="N13" t="n">
        <v>0</v>
      </c>
      <c r="O13" t="n">
        <v>0</v>
      </c>
      <c r="P13" t="n">
        <v>0</v>
      </c>
      <c r="Q13" t="n">
        <v>0</v>
      </c>
      <c r="R13" s="2" t="inlineStr"/>
    </row>
    <row r="14" ht="15" customHeight="1">
      <c r="A14" t="inlineStr">
        <is>
          <t>A 33262-2021</t>
        </is>
      </c>
      <c r="B14" s="1" t="n">
        <v>44377</v>
      </c>
      <c r="C14" s="1" t="n">
        <v>46200</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46919-2023</t>
        </is>
      </c>
      <c r="B15" s="1" t="n">
        <v>45201</v>
      </c>
      <c r="C15" s="1" t="n">
        <v>46200</v>
      </c>
      <c r="D15" t="inlineStr">
        <is>
          <t>STOCKHOLMS LÄN</t>
        </is>
      </c>
      <c r="E15" t="inlineStr">
        <is>
          <t>SALEM</t>
        </is>
      </c>
      <c r="F15" t="inlineStr">
        <is>
          <t>Kommuner</t>
        </is>
      </c>
      <c r="G15" t="n">
        <v>1.3</v>
      </c>
      <c r="H15" t="n">
        <v>0</v>
      </c>
      <c r="I15" t="n">
        <v>0</v>
      </c>
      <c r="J15" t="n">
        <v>0</v>
      </c>
      <c r="K15" t="n">
        <v>0</v>
      </c>
      <c r="L15" t="n">
        <v>0</v>
      </c>
      <c r="M15" t="n">
        <v>0</v>
      </c>
      <c r="N15" t="n">
        <v>0</v>
      </c>
      <c r="O15" t="n">
        <v>0</v>
      </c>
      <c r="P15" t="n">
        <v>0</v>
      </c>
      <c r="Q15" t="n">
        <v>0</v>
      </c>
      <c r="R15" s="2" t="inlineStr"/>
    </row>
    <row r="16" ht="15" customHeight="1">
      <c r="A16" t="inlineStr">
        <is>
          <t>A 504-2023</t>
        </is>
      </c>
      <c r="B16" s="1" t="n">
        <v>44930</v>
      </c>
      <c r="C16" s="1" t="n">
        <v>46200</v>
      </c>
      <c r="D16" t="inlineStr">
        <is>
          <t>STOCKHOLMS LÄN</t>
        </is>
      </c>
      <c r="E16" t="inlineStr">
        <is>
          <t>SALEM</t>
        </is>
      </c>
      <c r="F16" t="inlineStr">
        <is>
          <t>Kommuner</t>
        </is>
      </c>
      <c r="G16" t="n">
        <v>2</v>
      </c>
      <c r="H16" t="n">
        <v>0</v>
      </c>
      <c r="I16" t="n">
        <v>0</v>
      </c>
      <c r="J16" t="n">
        <v>0</v>
      </c>
      <c r="K16" t="n">
        <v>0</v>
      </c>
      <c r="L16" t="n">
        <v>0</v>
      </c>
      <c r="M16" t="n">
        <v>0</v>
      </c>
      <c r="N16" t="n">
        <v>0</v>
      </c>
      <c r="O16" t="n">
        <v>0</v>
      </c>
      <c r="P16" t="n">
        <v>0</v>
      </c>
      <c r="Q16" t="n">
        <v>0</v>
      </c>
      <c r="R16" s="2" t="inlineStr"/>
    </row>
    <row r="17" ht="15" customHeight="1">
      <c r="A17" t="inlineStr">
        <is>
          <t>A 58592-2023</t>
        </is>
      </c>
      <c r="B17" s="1" t="n">
        <v>45251</v>
      </c>
      <c r="C17" s="1" t="n">
        <v>46200</v>
      </c>
      <c r="D17" t="inlineStr">
        <is>
          <t>STOCKHOLMS LÄN</t>
        </is>
      </c>
      <c r="E17" t="inlineStr">
        <is>
          <t>SALEM</t>
        </is>
      </c>
      <c r="G17" t="n">
        <v>2.1</v>
      </c>
      <c r="H17" t="n">
        <v>0</v>
      </c>
      <c r="I17" t="n">
        <v>0</v>
      </c>
      <c r="J17" t="n">
        <v>0</v>
      </c>
      <c r="K17" t="n">
        <v>0</v>
      </c>
      <c r="L17" t="n">
        <v>0</v>
      </c>
      <c r="M17" t="n">
        <v>0</v>
      </c>
      <c r="N17" t="n">
        <v>0</v>
      </c>
      <c r="O17" t="n">
        <v>0</v>
      </c>
      <c r="P17" t="n">
        <v>0</v>
      </c>
      <c r="Q17" t="n">
        <v>0</v>
      </c>
      <c r="R17" s="2" t="inlineStr"/>
    </row>
    <row r="18" ht="15" customHeight="1">
      <c r="A18" t="inlineStr">
        <is>
          <t>A 1071-2023</t>
        </is>
      </c>
      <c r="B18" s="1" t="n">
        <v>44935</v>
      </c>
      <c r="C18" s="1" t="n">
        <v>46200</v>
      </c>
      <c r="D18" t="inlineStr">
        <is>
          <t>STOCKHOLMS LÄN</t>
        </is>
      </c>
      <c r="E18" t="inlineStr">
        <is>
          <t>SALEM</t>
        </is>
      </c>
      <c r="F18" t="inlineStr">
        <is>
          <t>Kommuner</t>
        </is>
      </c>
      <c r="G18" t="n">
        <v>5.1</v>
      </c>
      <c r="H18" t="n">
        <v>0</v>
      </c>
      <c r="I18" t="n">
        <v>0</v>
      </c>
      <c r="J18" t="n">
        <v>0</v>
      </c>
      <c r="K18" t="n">
        <v>0</v>
      </c>
      <c r="L18" t="n">
        <v>0</v>
      </c>
      <c r="M18" t="n">
        <v>0</v>
      </c>
      <c r="N18" t="n">
        <v>0</v>
      </c>
      <c r="O18" t="n">
        <v>0</v>
      </c>
      <c r="P18" t="n">
        <v>0</v>
      </c>
      <c r="Q18" t="n">
        <v>0</v>
      </c>
      <c r="R18" s="2" t="inlineStr"/>
    </row>
    <row r="19" ht="15" customHeight="1">
      <c r="A19" t="inlineStr">
        <is>
          <t>A 61336-2022</t>
        </is>
      </c>
      <c r="B19" s="1" t="n">
        <v>44915</v>
      </c>
      <c r="C19" s="1" t="n">
        <v>46200</v>
      </c>
      <c r="D19" t="inlineStr">
        <is>
          <t>STOCKHOLMS LÄN</t>
        </is>
      </c>
      <c r="E19" t="inlineStr">
        <is>
          <t>SALEM</t>
        </is>
      </c>
      <c r="F19" t="inlineStr">
        <is>
          <t>Kommuner</t>
        </is>
      </c>
      <c r="G19" t="n">
        <v>5.6</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46200</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46200</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46200</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46200</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46200</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46200</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46200</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46200</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46200</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46200</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46200</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46200</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46200</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46200</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32953-2025</t>
        </is>
      </c>
      <c r="B34" s="1" t="n">
        <v>45839</v>
      </c>
      <c r="C34" s="1" t="n">
        <v>46200</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33470-2025</t>
        </is>
      </c>
      <c r="B35" s="1" t="n">
        <v>45839</v>
      </c>
      <c r="C35" s="1" t="n">
        <v>46200</v>
      </c>
      <c r="D35" t="inlineStr">
        <is>
          <t>STOCKHOLMS LÄN</t>
        </is>
      </c>
      <c r="E35" t="inlineStr">
        <is>
          <t>SALEM</t>
        </is>
      </c>
      <c r="G35" t="n">
        <v>2.1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46200</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33428-2025</t>
        </is>
      </c>
      <c r="B37" s="1" t="n">
        <v>45839</v>
      </c>
      <c r="C37" s="1" t="n">
        <v>46200</v>
      </c>
      <c r="D37" t="inlineStr">
        <is>
          <t>STOCKHOLMS LÄN</t>
        </is>
      </c>
      <c r="E37" t="inlineStr">
        <is>
          <t>SALEM</t>
        </is>
      </c>
      <c r="G37" t="n">
        <v>2.2</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46200</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46200</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46200</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32946-2025</t>
        </is>
      </c>
      <c r="B41" s="1" t="n">
        <v>45839</v>
      </c>
      <c r="C41" s="1" t="n">
        <v>46200</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33421-2025</t>
        </is>
      </c>
      <c r="B42" s="1" t="n">
        <v>45839</v>
      </c>
      <c r="C42" s="1" t="n">
        <v>46200</v>
      </c>
      <c r="D42" t="inlineStr">
        <is>
          <t>STOCKHOLMS LÄN</t>
        </is>
      </c>
      <c r="E42" t="inlineStr">
        <is>
          <t>SALEM</t>
        </is>
      </c>
      <c r="G42" t="n">
        <v>1</v>
      </c>
      <c r="H42" t="n">
        <v>0</v>
      </c>
      <c r="I42" t="n">
        <v>0</v>
      </c>
      <c r="J42" t="n">
        <v>0</v>
      </c>
      <c r="K42" t="n">
        <v>0</v>
      </c>
      <c r="L42" t="n">
        <v>0</v>
      </c>
      <c r="M42" t="n">
        <v>0</v>
      </c>
      <c r="N42" t="n">
        <v>0</v>
      </c>
      <c r="O42" t="n">
        <v>0</v>
      </c>
      <c r="P42" t="n">
        <v>0</v>
      </c>
      <c r="Q42" t="n">
        <v>0</v>
      </c>
      <c r="R42" s="2" t="inlineStr"/>
    </row>
    <row r="43" ht="15" customHeight="1">
      <c r="A43" t="inlineStr">
        <is>
          <t>A 33446-2025</t>
        </is>
      </c>
      <c r="B43" s="1" t="n">
        <v>45839</v>
      </c>
      <c r="C43" s="1" t="n">
        <v>46200</v>
      </c>
      <c r="D43" t="inlineStr">
        <is>
          <t>STOCKHOLMS LÄN</t>
        </is>
      </c>
      <c r="E43" t="inlineStr">
        <is>
          <t>SALEM</t>
        </is>
      </c>
      <c r="G43" t="n">
        <v>9.4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46200</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9533-2024</t>
        </is>
      </c>
      <c r="B45" s="1" t="n">
        <v>45359</v>
      </c>
      <c r="C45" s="1" t="n">
        <v>46200</v>
      </c>
      <c r="D45" t="inlineStr">
        <is>
          <t>STOCKHOLMS LÄN</t>
        </is>
      </c>
      <c r="E45" t="inlineStr">
        <is>
          <t>SALEM</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46200</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46200</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c r="A48" t="inlineStr">
        <is>
          <t>A 33281-2025</t>
        </is>
      </c>
      <c r="B48" s="1" t="n">
        <v>45839</v>
      </c>
      <c r="C48" s="1" t="n">
        <v>46200</v>
      </c>
      <c r="D48" t="inlineStr">
        <is>
          <t>STOCKHOLMS LÄN</t>
        </is>
      </c>
      <c r="E48" t="inlineStr">
        <is>
          <t>SALEM</t>
        </is>
      </c>
      <c r="G48" t="n">
        <v>2.6</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2026-06-27T00:52:44Z</dcterms:created>
  <dcterms:modified xmlns:dcterms="http://purl.org/dc/terms/" xmlns:xsi="http://www.w3.org/2001/XMLSchema-instance" xsi:type="dcterms:W3CDTF">2026-06-27T00:52:44Z</dcterms:modified>
</cp:coreProperties>
</file>