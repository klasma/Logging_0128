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45966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45966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45966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45966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45966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45966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45966</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45966</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45966</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47262-2024</t>
        </is>
      </c>
      <c r="B11" s="1" t="n">
        <v>45586</v>
      </c>
      <c r="C11" s="1" t="n">
        <v>45966</v>
      </c>
      <c r="D11" t="inlineStr">
        <is>
          <t>STOCKHOLMS LÄN</t>
        </is>
      </c>
      <c r="E11" t="inlineStr">
        <is>
          <t>SALEM</t>
        </is>
      </c>
      <c r="G11" t="n">
        <v>2</v>
      </c>
      <c r="H11" t="n">
        <v>1</v>
      </c>
      <c r="I11" t="n">
        <v>0</v>
      </c>
      <c r="J11" t="n">
        <v>1</v>
      </c>
      <c r="K11" t="n">
        <v>0</v>
      </c>
      <c r="L11" t="n">
        <v>0</v>
      </c>
      <c r="M11" t="n">
        <v>0</v>
      </c>
      <c r="N11" t="n">
        <v>0</v>
      </c>
      <c r="O11" t="n">
        <v>1</v>
      </c>
      <c r="P11" t="n">
        <v>0</v>
      </c>
      <c r="Q11" t="n">
        <v>1</v>
      </c>
      <c r="R11" s="2" t="inlineStr">
        <is>
          <t>Spillkråka</t>
        </is>
      </c>
      <c r="S11">
        <f>HYPERLINK("https://klasma.github.io/Logging_0128/artfynd/A 47262-2024 artfynd.xlsx", "A 47262-2024")</f>
        <v/>
      </c>
      <c r="T11">
        <f>HYPERLINK("https://klasma.github.io/Logging_0128/kartor/A 47262-2024 karta.png", "A 47262-2024")</f>
        <v/>
      </c>
      <c r="V11">
        <f>HYPERLINK("https://klasma.github.io/Logging_0128/klagomål/A 47262-2024 FSC-klagomål.docx", "A 47262-2024")</f>
        <v/>
      </c>
      <c r="W11">
        <f>HYPERLINK("https://klasma.github.io/Logging_0128/klagomålsmail/A 47262-2024 FSC-klagomål mail.docx", "A 47262-2024")</f>
        <v/>
      </c>
      <c r="X11">
        <f>HYPERLINK("https://klasma.github.io/Logging_0128/tillsyn/A 47262-2024 tillsynsbegäran.docx", "A 47262-2024")</f>
        <v/>
      </c>
      <c r="Y11">
        <f>HYPERLINK("https://klasma.github.io/Logging_0128/tillsynsmail/A 47262-2024 tillsynsbegäran mail.docx", "A 47262-2024")</f>
        <v/>
      </c>
      <c r="Z11">
        <f>HYPERLINK("https://klasma.github.io/Logging_0128/fåglar/A 47262-2024 prioriterade fågelarter.docx", "A 47262-2024")</f>
        <v/>
      </c>
    </row>
    <row r="12" ht="15" customHeight="1">
      <c r="A12" t="inlineStr">
        <is>
          <t>A 28838-2021</t>
        </is>
      </c>
      <c r="B12" s="1" t="n">
        <v>44357</v>
      </c>
      <c r="C12" s="1" t="n">
        <v>45966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45966</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45966</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45966</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9533-2024</t>
        </is>
      </c>
      <c r="B16" s="1" t="n">
        <v>45359.69105324074</v>
      </c>
      <c r="C16" s="1" t="n">
        <v>45966</v>
      </c>
      <c r="D16" t="inlineStr">
        <is>
          <t>STOCKHOLMS LÄN</t>
        </is>
      </c>
      <c r="E16" t="inlineStr">
        <is>
          <t>SALEM</t>
        </is>
      </c>
      <c r="F16" t="inlineStr">
        <is>
          <t>Kommuner</t>
        </is>
      </c>
      <c r="G16" t="n">
        <v>2.6</v>
      </c>
      <c r="H16" t="n">
        <v>0</v>
      </c>
      <c r="I16" t="n">
        <v>0</v>
      </c>
      <c r="J16" t="n">
        <v>0</v>
      </c>
      <c r="K16" t="n">
        <v>0</v>
      </c>
      <c r="L16" t="n">
        <v>0</v>
      </c>
      <c r="M16" t="n">
        <v>0</v>
      </c>
      <c r="N16" t="n">
        <v>0</v>
      </c>
      <c r="O16" t="n">
        <v>0</v>
      </c>
      <c r="P16" t="n">
        <v>0</v>
      </c>
      <c r="Q16" t="n">
        <v>0</v>
      </c>
      <c r="R16" s="2" t="inlineStr"/>
    </row>
    <row r="17" ht="15" customHeight="1">
      <c r="A17" t="inlineStr">
        <is>
          <t>A 28843-2021</t>
        </is>
      </c>
      <c r="B17" s="1" t="n">
        <v>44357</v>
      </c>
      <c r="C17" s="1" t="n">
        <v>45966</v>
      </c>
      <c r="D17" t="inlineStr">
        <is>
          <t>STOCKHOLMS LÄN</t>
        </is>
      </c>
      <c r="E17" t="inlineStr">
        <is>
          <t>SALEM</t>
        </is>
      </c>
      <c r="G17" t="n">
        <v>1.3</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45966</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33246-2021</t>
        </is>
      </c>
      <c r="B19" s="1" t="n">
        <v>44377</v>
      </c>
      <c r="C19" s="1" t="n">
        <v>45966</v>
      </c>
      <c r="D19" t="inlineStr">
        <is>
          <t>STOCKHOLMS LÄN</t>
        </is>
      </c>
      <c r="E19" t="inlineStr">
        <is>
          <t>SALEM</t>
        </is>
      </c>
      <c r="G19" t="n">
        <v>3.4</v>
      </c>
      <c r="H19" t="n">
        <v>0</v>
      </c>
      <c r="I19" t="n">
        <v>0</v>
      </c>
      <c r="J19" t="n">
        <v>0</v>
      </c>
      <c r="K19" t="n">
        <v>0</v>
      </c>
      <c r="L19" t="n">
        <v>0</v>
      </c>
      <c r="M19" t="n">
        <v>0</v>
      </c>
      <c r="N19" t="n">
        <v>0</v>
      </c>
      <c r="O19" t="n">
        <v>0</v>
      </c>
      <c r="P19" t="n">
        <v>0</v>
      </c>
      <c r="Q19" t="n">
        <v>0</v>
      </c>
      <c r="R19" s="2" t="inlineStr"/>
    </row>
    <row r="20" ht="15" customHeight="1">
      <c r="A20" t="inlineStr">
        <is>
          <t>A 46919-2023</t>
        </is>
      </c>
      <c r="B20" s="1" t="n">
        <v>45201</v>
      </c>
      <c r="C20" s="1" t="n">
        <v>45966</v>
      </c>
      <c r="D20" t="inlineStr">
        <is>
          <t>STOCKHOLMS LÄN</t>
        </is>
      </c>
      <c r="E20" t="inlineStr">
        <is>
          <t>SALEM</t>
        </is>
      </c>
      <c r="F20" t="inlineStr">
        <is>
          <t>Kommuner</t>
        </is>
      </c>
      <c r="G20" t="n">
        <v>1.3</v>
      </c>
      <c r="H20" t="n">
        <v>0</v>
      </c>
      <c r="I20" t="n">
        <v>0</v>
      </c>
      <c r="J20" t="n">
        <v>0</v>
      </c>
      <c r="K20" t="n">
        <v>0</v>
      </c>
      <c r="L20" t="n">
        <v>0</v>
      </c>
      <c r="M20" t="n">
        <v>0</v>
      </c>
      <c r="N20" t="n">
        <v>0</v>
      </c>
      <c r="O20" t="n">
        <v>0</v>
      </c>
      <c r="P20" t="n">
        <v>0</v>
      </c>
      <c r="Q20" t="n">
        <v>0</v>
      </c>
      <c r="R20" s="2" t="inlineStr"/>
    </row>
    <row r="21" ht="15" customHeight="1">
      <c r="A21" t="inlineStr">
        <is>
          <t>A 504-2023</t>
        </is>
      </c>
      <c r="B21" s="1" t="n">
        <v>44930</v>
      </c>
      <c r="C21" s="1" t="n">
        <v>45966</v>
      </c>
      <c r="D21" t="inlineStr">
        <is>
          <t>STOCKHOLMS LÄN</t>
        </is>
      </c>
      <c r="E21" t="inlineStr">
        <is>
          <t>SALEM</t>
        </is>
      </c>
      <c r="F21" t="inlineStr">
        <is>
          <t>Kommuner</t>
        </is>
      </c>
      <c r="G21" t="n">
        <v>2</v>
      </c>
      <c r="H21" t="n">
        <v>0</v>
      </c>
      <c r="I21" t="n">
        <v>0</v>
      </c>
      <c r="J21" t="n">
        <v>0</v>
      </c>
      <c r="K21" t="n">
        <v>0</v>
      </c>
      <c r="L21" t="n">
        <v>0</v>
      </c>
      <c r="M21" t="n">
        <v>0</v>
      </c>
      <c r="N21" t="n">
        <v>0</v>
      </c>
      <c r="O21" t="n">
        <v>0</v>
      </c>
      <c r="P21" t="n">
        <v>0</v>
      </c>
      <c r="Q21" t="n">
        <v>0</v>
      </c>
      <c r="R21" s="2" t="inlineStr"/>
    </row>
    <row r="22" ht="15" customHeight="1">
      <c r="A22" t="inlineStr">
        <is>
          <t>A 58592-2023</t>
        </is>
      </c>
      <c r="B22" s="1" t="n">
        <v>45251</v>
      </c>
      <c r="C22" s="1" t="n">
        <v>45966</v>
      </c>
      <c r="D22" t="inlineStr">
        <is>
          <t>STOCKHOLMS LÄN</t>
        </is>
      </c>
      <c r="E22" t="inlineStr">
        <is>
          <t>SALEM</t>
        </is>
      </c>
      <c r="G22" t="n">
        <v>2.1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45966</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32962-2025</t>
        </is>
      </c>
      <c r="B24" s="1" t="n">
        <v>45839</v>
      </c>
      <c r="C24" s="1" t="n">
        <v>45966</v>
      </c>
      <c r="D24" t="inlineStr">
        <is>
          <t>STOCKHOLMS LÄN</t>
        </is>
      </c>
      <c r="E24" t="inlineStr">
        <is>
          <t>SALEM</t>
        </is>
      </c>
      <c r="G24" t="n">
        <v>0.8</v>
      </c>
      <c r="H24" t="n">
        <v>0</v>
      </c>
      <c r="I24" t="n">
        <v>0</v>
      </c>
      <c r="J24" t="n">
        <v>0</v>
      </c>
      <c r="K24" t="n">
        <v>0</v>
      </c>
      <c r="L24" t="n">
        <v>0</v>
      </c>
      <c r="M24" t="n">
        <v>0</v>
      </c>
      <c r="N24" t="n">
        <v>0</v>
      </c>
      <c r="O24" t="n">
        <v>0</v>
      </c>
      <c r="P24" t="n">
        <v>0</v>
      </c>
      <c r="Q24" t="n">
        <v>0</v>
      </c>
      <c r="R24" s="2" t="inlineStr"/>
    </row>
    <row r="25" ht="15" customHeight="1">
      <c r="A25" t="inlineStr">
        <is>
          <t>A 33029-2025</t>
        </is>
      </c>
      <c r="B25" s="1" t="n">
        <v>45839</v>
      </c>
      <c r="C25" s="1" t="n">
        <v>45966</v>
      </c>
      <c r="D25" t="inlineStr">
        <is>
          <t>STOCKHOLMS LÄN</t>
        </is>
      </c>
      <c r="E25" t="inlineStr">
        <is>
          <t>SALEM</t>
        </is>
      </c>
      <c r="G25" t="n">
        <v>1.5</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45966</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45966</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45966</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33277-2025</t>
        </is>
      </c>
      <c r="B29" s="1" t="n">
        <v>45839</v>
      </c>
      <c r="C29" s="1" t="n">
        <v>45966</v>
      </c>
      <c r="D29" t="inlineStr">
        <is>
          <t>STOCKHOLMS LÄN</t>
        </is>
      </c>
      <c r="E29" t="inlineStr">
        <is>
          <t>SALEM</t>
        </is>
      </c>
      <c r="G29" t="n">
        <v>2.4</v>
      </c>
      <c r="H29" t="n">
        <v>0</v>
      </c>
      <c r="I29" t="n">
        <v>0</v>
      </c>
      <c r="J29" t="n">
        <v>0</v>
      </c>
      <c r="K29" t="n">
        <v>0</v>
      </c>
      <c r="L29" t="n">
        <v>0</v>
      </c>
      <c r="M29" t="n">
        <v>0</v>
      </c>
      <c r="N29" t="n">
        <v>0</v>
      </c>
      <c r="O29" t="n">
        <v>0</v>
      </c>
      <c r="P29" t="n">
        <v>0</v>
      </c>
      <c r="Q29" t="n">
        <v>0</v>
      </c>
      <c r="R29" s="2" t="inlineStr"/>
    </row>
    <row r="30" ht="15" customHeight="1">
      <c r="A30" t="inlineStr">
        <is>
          <t>A 33284-2025</t>
        </is>
      </c>
      <c r="B30" s="1" t="n">
        <v>45839</v>
      </c>
      <c r="C30" s="1" t="n">
        <v>45966</v>
      </c>
      <c r="D30" t="inlineStr">
        <is>
          <t>STOCKHOLMS LÄN</t>
        </is>
      </c>
      <c r="E30" t="inlineStr">
        <is>
          <t>SALEM</t>
        </is>
      </c>
      <c r="G30" t="n">
        <v>3.3</v>
      </c>
      <c r="H30" t="n">
        <v>0</v>
      </c>
      <c r="I30" t="n">
        <v>0</v>
      </c>
      <c r="J30" t="n">
        <v>0</v>
      </c>
      <c r="K30" t="n">
        <v>0</v>
      </c>
      <c r="L30" t="n">
        <v>0</v>
      </c>
      <c r="M30" t="n">
        <v>0</v>
      </c>
      <c r="N30" t="n">
        <v>0</v>
      </c>
      <c r="O30" t="n">
        <v>0</v>
      </c>
      <c r="P30" t="n">
        <v>0</v>
      </c>
      <c r="Q30" t="n">
        <v>0</v>
      </c>
      <c r="R30" s="2" t="inlineStr"/>
    </row>
    <row r="31" ht="15" customHeight="1">
      <c r="A31" t="inlineStr">
        <is>
          <t>A 32960-2025</t>
        </is>
      </c>
      <c r="B31" s="1" t="n">
        <v>45839</v>
      </c>
      <c r="C31" s="1" t="n">
        <v>45966</v>
      </c>
      <c r="D31" t="inlineStr">
        <is>
          <t>STOCKHOLMS LÄN</t>
        </is>
      </c>
      <c r="E31" t="inlineStr">
        <is>
          <t>SALEM</t>
        </is>
      </c>
      <c r="G31" t="n">
        <v>5.3</v>
      </c>
      <c r="H31" t="n">
        <v>0</v>
      </c>
      <c r="I31" t="n">
        <v>0</v>
      </c>
      <c r="J31" t="n">
        <v>0</v>
      </c>
      <c r="K31" t="n">
        <v>0</v>
      </c>
      <c r="L31" t="n">
        <v>0</v>
      </c>
      <c r="M31" t="n">
        <v>0</v>
      </c>
      <c r="N31" t="n">
        <v>0</v>
      </c>
      <c r="O31" t="n">
        <v>0</v>
      </c>
      <c r="P31" t="n">
        <v>0</v>
      </c>
      <c r="Q31" t="n">
        <v>0</v>
      </c>
      <c r="R31" s="2" t="inlineStr"/>
    </row>
    <row r="32" ht="15" customHeight="1">
      <c r="A32" t="inlineStr">
        <is>
          <t>A 32968-2025</t>
        </is>
      </c>
      <c r="B32" s="1" t="n">
        <v>45839</v>
      </c>
      <c r="C32" s="1" t="n">
        <v>45966</v>
      </c>
      <c r="D32" t="inlineStr">
        <is>
          <t>STOCKHOLMS LÄN</t>
        </is>
      </c>
      <c r="E32" t="inlineStr">
        <is>
          <t>SALEM</t>
        </is>
      </c>
      <c r="G32" t="n">
        <v>1.1</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45966</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32965-2025</t>
        </is>
      </c>
      <c r="B34" s="1" t="n">
        <v>45839</v>
      </c>
      <c r="C34" s="1" t="n">
        <v>45966</v>
      </c>
      <c r="D34" t="inlineStr">
        <is>
          <t>STOCKHOLMS LÄN</t>
        </is>
      </c>
      <c r="E34" t="inlineStr">
        <is>
          <t>SALEM</t>
        </is>
      </c>
      <c r="G34" t="n">
        <v>2.8</v>
      </c>
      <c r="H34" t="n">
        <v>0</v>
      </c>
      <c r="I34" t="n">
        <v>0</v>
      </c>
      <c r="J34" t="n">
        <v>0</v>
      </c>
      <c r="K34" t="n">
        <v>0</v>
      </c>
      <c r="L34" t="n">
        <v>0</v>
      </c>
      <c r="M34" t="n">
        <v>0</v>
      </c>
      <c r="N34" t="n">
        <v>0</v>
      </c>
      <c r="O34" t="n">
        <v>0</v>
      </c>
      <c r="P34" t="n">
        <v>0</v>
      </c>
      <c r="Q34" t="n">
        <v>0</v>
      </c>
      <c r="R34" s="2" t="inlineStr"/>
    </row>
    <row r="35" ht="15" customHeight="1">
      <c r="A35" t="inlineStr">
        <is>
          <t>A 32970-2025</t>
        </is>
      </c>
      <c r="B35" s="1" t="n">
        <v>45839</v>
      </c>
      <c r="C35" s="1" t="n">
        <v>45966</v>
      </c>
      <c r="D35" t="inlineStr">
        <is>
          <t>STOCKHOLMS LÄN</t>
        </is>
      </c>
      <c r="E35" t="inlineStr">
        <is>
          <t>SALEM</t>
        </is>
      </c>
      <c r="G35" t="n">
        <v>10.5</v>
      </c>
      <c r="H35" t="n">
        <v>0</v>
      </c>
      <c r="I35" t="n">
        <v>0</v>
      </c>
      <c r="J35" t="n">
        <v>0</v>
      </c>
      <c r="K35" t="n">
        <v>0</v>
      </c>
      <c r="L35" t="n">
        <v>0</v>
      </c>
      <c r="M35" t="n">
        <v>0</v>
      </c>
      <c r="N35" t="n">
        <v>0</v>
      </c>
      <c r="O35" t="n">
        <v>0</v>
      </c>
      <c r="P35" t="n">
        <v>0</v>
      </c>
      <c r="Q35" t="n">
        <v>0</v>
      </c>
      <c r="R35" s="2" t="inlineStr"/>
    </row>
    <row r="36" ht="15" customHeight="1">
      <c r="A36" t="inlineStr">
        <is>
          <t>A 33281-2025</t>
        </is>
      </c>
      <c r="B36" s="1" t="n">
        <v>45839</v>
      </c>
      <c r="C36" s="1" t="n">
        <v>45966</v>
      </c>
      <c r="D36" t="inlineStr">
        <is>
          <t>STOCKHOLMS LÄN</t>
        </is>
      </c>
      <c r="E36" t="inlineStr">
        <is>
          <t>SALEM</t>
        </is>
      </c>
      <c r="G36" t="n">
        <v>2.6</v>
      </c>
      <c r="H36" t="n">
        <v>0</v>
      </c>
      <c r="I36" t="n">
        <v>0</v>
      </c>
      <c r="J36" t="n">
        <v>0</v>
      </c>
      <c r="K36" t="n">
        <v>0</v>
      </c>
      <c r="L36" t="n">
        <v>0</v>
      </c>
      <c r="M36" t="n">
        <v>0</v>
      </c>
      <c r="N36" t="n">
        <v>0</v>
      </c>
      <c r="O36" t="n">
        <v>0</v>
      </c>
      <c r="P36" t="n">
        <v>0</v>
      </c>
      <c r="Q36" t="n">
        <v>0</v>
      </c>
      <c r="R36" s="2" t="inlineStr"/>
    </row>
    <row r="37" ht="15" customHeight="1">
      <c r="A37" t="inlineStr">
        <is>
          <t>A 32953-2025</t>
        </is>
      </c>
      <c r="B37" s="1" t="n">
        <v>45839</v>
      </c>
      <c r="C37" s="1" t="n">
        <v>45966</v>
      </c>
      <c r="D37" t="inlineStr">
        <is>
          <t>STOCKHOLMS LÄN</t>
        </is>
      </c>
      <c r="E37" t="inlineStr">
        <is>
          <t>SALEM</t>
        </is>
      </c>
      <c r="G37" t="n">
        <v>2.4</v>
      </c>
      <c r="H37" t="n">
        <v>0</v>
      </c>
      <c r="I37" t="n">
        <v>0</v>
      </c>
      <c r="J37" t="n">
        <v>0</v>
      </c>
      <c r="K37" t="n">
        <v>0</v>
      </c>
      <c r="L37" t="n">
        <v>0</v>
      </c>
      <c r="M37" t="n">
        <v>0</v>
      </c>
      <c r="N37" t="n">
        <v>0</v>
      </c>
      <c r="O37" t="n">
        <v>0</v>
      </c>
      <c r="P37" t="n">
        <v>0</v>
      </c>
      <c r="Q37" t="n">
        <v>0</v>
      </c>
      <c r="R37" s="2" t="inlineStr"/>
    </row>
    <row r="38" ht="15" customHeight="1">
      <c r="A38" t="inlineStr">
        <is>
          <t>A 33470-2025</t>
        </is>
      </c>
      <c r="B38" s="1" t="n">
        <v>45839</v>
      </c>
      <c r="C38" s="1" t="n">
        <v>45966</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45966</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33262-2021</t>
        </is>
      </c>
      <c r="B40" s="1" t="n">
        <v>44377.35033564815</v>
      </c>
      <c r="C40" s="1" t="n">
        <v>45966</v>
      </c>
      <c r="D40" t="inlineStr">
        <is>
          <t>STOCKHOLMS LÄN</t>
        </is>
      </c>
      <c r="E40" t="inlineStr">
        <is>
          <t>SALEM</t>
        </is>
      </c>
      <c r="G40" t="n">
        <v>0.7</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45966</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33428-2025</t>
        </is>
      </c>
      <c r="B42" s="1" t="n">
        <v>45839</v>
      </c>
      <c r="C42" s="1" t="n">
        <v>45966</v>
      </c>
      <c r="D42" t="inlineStr">
        <is>
          <t>STOCKHOLMS LÄN</t>
        </is>
      </c>
      <c r="E42" t="inlineStr">
        <is>
          <t>SALEM</t>
        </is>
      </c>
      <c r="G42" t="n">
        <v>2.2</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45966</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45966</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45966</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45966</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32946-2025</t>
        </is>
      </c>
      <c r="B47" s="1" t="n">
        <v>45839</v>
      </c>
      <c r="C47" s="1" t="n">
        <v>45966</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33421-2025</t>
        </is>
      </c>
      <c r="B48" s="1" t="n">
        <v>45839</v>
      </c>
      <c r="C48" s="1" t="n">
        <v>45966</v>
      </c>
      <c r="D48" t="inlineStr">
        <is>
          <t>STOCKHOLMS LÄN</t>
        </is>
      </c>
      <c r="E48" t="inlineStr">
        <is>
          <t>SALEM</t>
        </is>
      </c>
      <c r="G48" t="n">
        <v>1</v>
      </c>
      <c r="H48" t="n">
        <v>0</v>
      </c>
      <c r="I48" t="n">
        <v>0</v>
      </c>
      <c r="J48" t="n">
        <v>0</v>
      </c>
      <c r="K48" t="n">
        <v>0</v>
      </c>
      <c r="L48" t="n">
        <v>0</v>
      </c>
      <c r="M48" t="n">
        <v>0</v>
      </c>
      <c r="N48" t="n">
        <v>0</v>
      </c>
      <c r="O48" t="n">
        <v>0</v>
      </c>
      <c r="P48" t="n">
        <v>0</v>
      </c>
      <c r="Q48" t="n">
        <v>0</v>
      </c>
      <c r="R48" s="2" t="inlineStr"/>
    </row>
    <row r="49" ht="15" customHeight="1">
      <c r="A49" t="inlineStr">
        <is>
          <t>A 33446-2025</t>
        </is>
      </c>
      <c r="B49" s="1" t="n">
        <v>45839</v>
      </c>
      <c r="C49" s="1" t="n">
        <v>45966</v>
      </c>
      <c r="D49" t="inlineStr">
        <is>
          <t>STOCKHOLMS LÄN</t>
        </is>
      </c>
      <c r="E49" t="inlineStr">
        <is>
          <t>SALEM</t>
        </is>
      </c>
      <c r="G49" t="n">
        <v>9.4</v>
      </c>
      <c r="H49" t="n">
        <v>0</v>
      </c>
      <c r="I49" t="n">
        <v>0</v>
      </c>
      <c r="J49" t="n">
        <v>0</v>
      </c>
      <c r="K49" t="n">
        <v>0</v>
      </c>
      <c r="L49" t="n">
        <v>0</v>
      </c>
      <c r="M49" t="n">
        <v>0</v>
      </c>
      <c r="N49" t="n">
        <v>0</v>
      </c>
      <c r="O49" t="n">
        <v>0</v>
      </c>
      <c r="P49" t="n">
        <v>0</v>
      </c>
      <c r="Q49" t="n">
        <v>0</v>
      </c>
      <c r="R49" s="2" t="inlineStr"/>
    </row>
    <row r="50" ht="15" customHeight="1">
      <c r="A50" t="inlineStr">
        <is>
          <t>A 33473-2025</t>
        </is>
      </c>
      <c r="B50" s="1" t="n">
        <v>45839</v>
      </c>
      <c r="C50" s="1" t="n">
        <v>45966</v>
      </c>
      <c r="D50" t="inlineStr">
        <is>
          <t>STOCKHOLMS LÄN</t>
        </is>
      </c>
      <c r="E50" t="inlineStr">
        <is>
          <t>SALEM</t>
        </is>
      </c>
      <c r="G50" t="n">
        <v>5.7</v>
      </c>
      <c r="H50" t="n">
        <v>0</v>
      </c>
      <c r="I50" t="n">
        <v>0</v>
      </c>
      <c r="J50" t="n">
        <v>0</v>
      </c>
      <c r="K50" t="n">
        <v>0</v>
      </c>
      <c r="L50" t="n">
        <v>0</v>
      </c>
      <c r="M50" t="n">
        <v>0</v>
      </c>
      <c r="N50" t="n">
        <v>0</v>
      </c>
      <c r="O50" t="n">
        <v>0</v>
      </c>
      <c r="P50" t="n">
        <v>0</v>
      </c>
      <c r="Q50" t="n">
        <v>0</v>
      </c>
      <c r="R50" s="2" t="inlineStr"/>
    </row>
    <row r="51" ht="15" customHeight="1">
      <c r="A51" t="inlineStr">
        <is>
          <t>A 29982-2025</t>
        </is>
      </c>
      <c r="B51" s="1" t="n">
        <v>45826</v>
      </c>
      <c r="C51" s="1" t="n">
        <v>45966</v>
      </c>
      <c r="D51" t="inlineStr">
        <is>
          <t>STOCKHOLMS LÄN</t>
        </is>
      </c>
      <c r="E51" t="inlineStr">
        <is>
          <t>SALEM</t>
        </is>
      </c>
      <c r="G51" t="n">
        <v>1.5</v>
      </c>
      <c r="H51" t="n">
        <v>0</v>
      </c>
      <c r="I51" t="n">
        <v>0</v>
      </c>
      <c r="J51" t="n">
        <v>0</v>
      </c>
      <c r="K51" t="n">
        <v>0</v>
      </c>
      <c r="L51" t="n">
        <v>0</v>
      </c>
      <c r="M51" t="n">
        <v>0</v>
      </c>
      <c r="N51" t="n">
        <v>0</v>
      </c>
      <c r="O51" t="n">
        <v>0</v>
      </c>
      <c r="P51" t="n">
        <v>0</v>
      </c>
      <c r="Q51" t="n">
        <v>0</v>
      </c>
      <c r="R51" s="2" t="inlineStr"/>
    </row>
    <row r="52" ht="15" customHeight="1">
      <c r="A52" t="inlineStr">
        <is>
          <t>A 8300-2024</t>
        </is>
      </c>
      <c r="B52" s="1" t="n">
        <v>45352.44717592592</v>
      </c>
      <c r="C52" s="1" t="n">
        <v>45966</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1071-2023</t>
        </is>
      </c>
      <c r="B53" s="1" t="n">
        <v>44935</v>
      </c>
      <c r="C53" s="1" t="n">
        <v>45966</v>
      </c>
      <c r="D53" t="inlineStr">
        <is>
          <t>STOCKHOLMS LÄN</t>
        </is>
      </c>
      <c r="E53" t="inlineStr">
        <is>
          <t>SALEM</t>
        </is>
      </c>
      <c r="F53" t="inlineStr">
        <is>
          <t>Kommuner</t>
        </is>
      </c>
      <c r="G53" t="n">
        <v>5.1</v>
      </c>
      <c r="H53" t="n">
        <v>0</v>
      </c>
      <c r="I53" t="n">
        <v>0</v>
      </c>
      <c r="J53" t="n">
        <v>0</v>
      </c>
      <c r="K53" t="n">
        <v>0</v>
      </c>
      <c r="L53" t="n">
        <v>0</v>
      </c>
      <c r="M53" t="n">
        <v>0</v>
      </c>
      <c r="N53" t="n">
        <v>0</v>
      </c>
      <c r="O53" t="n">
        <v>0</v>
      </c>
      <c r="P53" t="n">
        <v>0</v>
      </c>
      <c r="Q53" t="n">
        <v>0</v>
      </c>
      <c r="R53" s="2" t="inlineStr"/>
    </row>
    <row r="54">
      <c r="A54" t="inlineStr">
        <is>
          <t>A 12874-2021</t>
        </is>
      </c>
      <c r="B54" s="1" t="n">
        <v>44271.42787037037</v>
      </c>
      <c r="C54" s="1" t="n">
        <v>45966</v>
      </c>
      <c r="D54" t="inlineStr">
        <is>
          <t>STOCKHOLMS LÄN</t>
        </is>
      </c>
      <c r="E54" t="inlineStr">
        <is>
          <t>SALEM</t>
        </is>
      </c>
      <c r="G54" t="n">
        <v>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2025-11-05T10:11:33Z</dcterms:created>
  <dcterms:modified xmlns:dcterms="http://purl.org/dc/terms/" xmlns:xsi="http://www.w3.org/2001/XMLSchema-instance" xsi:type="dcterms:W3CDTF">2025-11-05T10:11:33Z</dcterms:modified>
</cp:coreProperties>
</file>