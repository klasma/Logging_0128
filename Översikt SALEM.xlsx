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45895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45895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45895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45895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45895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45895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45895</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45895</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45895</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45895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33411-2025</t>
        </is>
      </c>
      <c r="B12" s="1" t="n">
        <v>45839</v>
      </c>
      <c r="C12" s="1" t="n">
        <v>45895</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32951-2025</t>
        </is>
      </c>
      <c r="B13" s="1" t="n">
        <v>45839</v>
      </c>
      <c r="C13" s="1" t="n">
        <v>45895</v>
      </c>
      <c r="D13" t="inlineStr">
        <is>
          <t>STOCKHOLMS LÄN</t>
        </is>
      </c>
      <c r="E13" t="inlineStr">
        <is>
          <t>SALEM</t>
        </is>
      </c>
      <c r="G13" t="n">
        <v>2.6</v>
      </c>
      <c r="H13" t="n">
        <v>0</v>
      </c>
      <c r="I13" t="n">
        <v>0</v>
      </c>
      <c r="J13" t="n">
        <v>1</v>
      </c>
      <c r="K13" t="n">
        <v>0</v>
      </c>
      <c r="L13" t="n">
        <v>0</v>
      </c>
      <c r="M13" t="n">
        <v>0</v>
      </c>
      <c r="N13" t="n">
        <v>0</v>
      </c>
      <c r="O13" t="n">
        <v>1</v>
      </c>
      <c r="P13" t="n">
        <v>0</v>
      </c>
      <c r="Q13" t="n">
        <v>1</v>
      </c>
      <c r="R13" s="2" t="inlineStr">
        <is>
          <t>Etternässla</t>
        </is>
      </c>
      <c r="S13">
        <f>HYPERLINK("https://klasma.github.io/Logging_0128/artfynd/A 32951-2025 artfynd.xlsx", "A 32951-2025")</f>
        <v/>
      </c>
      <c r="T13">
        <f>HYPERLINK("https://klasma.github.io/Logging_0128/kartor/A 32951-2025 karta.png", "A 32951-2025")</f>
        <v/>
      </c>
      <c r="V13">
        <f>HYPERLINK("https://klasma.github.io/Logging_0128/klagomål/A 32951-2025 FSC-klagomål.docx", "A 32951-2025")</f>
        <v/>
      </c>
      <c r="W13">
        <f>HYPERLINK("https://klasma.github.io/Logging_0128/klagomålsmail/A 32951-2025 FSC-klagomål mail.docx", "A 32951-2025")</f>
        <v/>
      </c>
      <c r="X13">
        <f>HYPERLINK("https://klasma.github.io/Logging_0128/tillsyn/A 32951-2025 tillsynsbegäran.docx", "A 32951-2025")</f>
        <v/>
      </c>
      <c r="Y13">
        <f>HYPERLINK("https://klasma.github.io/Logging_0128/tillsynsmail/A 32951-2025 tillsynsbegäran mail.docx", "A 32951-2025")</f>
        <v/>
      </c>
    </row>
    <row r="14" ht="15" customHeight="1">
      <c r="A14" t="inlineStr">
        <is>
          <t>A 28838-2021</t>
        </is>
      </c>
      <c r="B14" s="1" t="n">
        <v>44357</v>
      </c>
      <c r="C14" s="1" t="n">
        <v>45895</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45895</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45895</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41718-2020</t>
        </is>
      </c>
      <c r="B17" s="1" t="n">
        <v>44074</v>
      </c>
      <c r="C17" s="1" t="n">
        <v>45895</v>
      </c>
      <c r="D17" t="inlineStr">
        <is>
          <t>STOCKHOLMS LÄN</t>
        </is>
      </c>
      <c r="E17" t="inlineStr">
        <is>
          <t>SALEM</t>
        </is>
      </c>
      <c r="F17" t="inlineStr">
        <is>
          <t>Kommuner</t>
        </is>
      </c>
      <c r="G17" t="n">
        <v>3.3</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45895</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45895</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46919-2023</t>
        </is>
      </c>
      <c r="B20" s="1" t="n">
        <v>45201</v>
      </c>
      <c r="C20" s="1" t="n">
        <v>45895</v>
      </c>
      <c r="D20" t="inlineStr">
        <is>
          <t>STOCKHOLMS LÄN</t>
        </is>
      </c>
      <c r="E20" t="inlineStr">
        <is>
          <t>SALEM</t>
        </is>
      </c>
      <c r="F20" t="inlineStr">
        <is>
          <t>Kommuner</t>
        </is>
      </c>
      <c r="G20" t="n">
        <v>1.3</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45895</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45895</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45895</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45895</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45895</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33246-2021</t>
        </is>
      </c>
      <c r="B26" s="1" t="n">
        <v>44377</v>
      </c>
      <c r="C26" s="1" t="n">
        <v>45895</v>
      </c>
      <c r="D26" t="inlineStr">
        <is>
          <t>STOCKHOLMS LÄN</t>
        </is>
      </c>
      <c r="E26" t="inlineStr">
        <is>
          <t>SALEM</t>
        </is>
      </c>
      <c r="G26" t="n">
        <v>3.4</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45895</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45895</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45895</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45895</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45895</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45895</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45895</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45895</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45895</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45895</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45895</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45895</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45895</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45895</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45895</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45895</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45895</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45895</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45895</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45895</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45895</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45895</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45895</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45895</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45895</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32953-2025</t>
        </is>
      </c>
      <c r="B52" s="1" t="n">
        <v>45839</v>
      </c>
      <c r="C52" s="1" t="n">
        <v>45895</v>
      </c>
      <c r="D52" t="inlineStr">
        <is>
          <t>STOCKHOLMS LÄN</t>
        </is>
      </c>
      <c r="E52" t="inlineStr">
        <is>
          <t>SALEM</t>
        </is>
      </c>
      <c r="G52" t="n">
        <v>2.4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45895</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29982-2025</t>
        </is>
      </c>
      <c r="B54" s="1" t="n">
        <v>45826</v>
      </c>
      <c r="C54" s="1" t="n">
        <v>45895</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row r="55" ht="15" customHeight="1">
      <c r="A55" t="inlineStr">
        <is>
          <t>A 61336-2022</t>
        </is>
      </c>
      <c r="B55" s="1" t="n">
        <v>44915</v>
      </c>
      <c r="C55" s="1" t="n">
        <v>45895</v>
      </c>
      <c r="D55" t="inlineStr">
        <is>
          <t>STOCKHOLMS LÄN</t>
        </is>
      </c>
      <c r="E55" t="inlineStr">
        <is>
          <t>SALEM</t>
        </is>
      </c>
      <c r="F55" t="inlineStr">
        <is>
          <t>Kommuner</t>
        </is>
      </c>
      <c r="G55" t="n">
        <v>5.6</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45895</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23992-2023</t>
        </is>
      </c>
      <c r="B57" s="1" t="n">
        <v>45078</v>
      </c>
      <c r="C57" s="1" t="n">
        <v>45895</v>
      </c>
      <c r="D57" t="inlineStr">
        <is>
          <t>STOCKHOLMS LÄN</t>
        </is>
      </c>
      <c r="E57" t="inlineStr">
        <is>
          <t>SALEM</t>
        </is>
      </c>
      <c r="F57" t="inlineStr">
        <is>
          <t>Kommuner</t>
        </is>
      </c>
      <c r="G57" t="n">
        <v>0.7</v>
      </c>
      <c r="H57" t="n">
        <v>0</v>
      </c>
      <c r="I57" t="n">
        <v>0</v>
      </c>
      <c r="J57" t="n">
        <v>0</v>
      </c>
      <c r="K57" t="n">
        <v>0</v>
      </c>
      <c r="L57" t="n">
        <v>0</v>
      </c>
      <c r="M57" t="n">
        <v>0</v>
      </c>
      <c r="N57" t="n">
        <v>0</v>
      </c>
      <c r="O57" t="n">
        <v>0</v>
      </c>
      <c r="P57" t="n">
        <v>0</v>
      </c>
      <c r="Q57" t="n">
        <v>0</v>
      </c>
      <c r="R57" s="2" t="inlineStr"/>
    </row>
    <row r="58">
      <c r="A58" t="inlineStr">
        <is>
          <t>A 1071-2023</t>
        </is>
      </c>
      <c r="B58" s="1" t="n">
        <v>44935</v>
      </c>
      <c r="C58" s="1" t="n">
        <v>45895</v>
      </c>
      <c r="D58" t="inlineStr">
        <is>
          <t>STOCKHOLMS LÄN</t>
        </is>
      </c>
      <c r="E58" t="inlineStr">
        <is>
          <t>SALEM</t>
        </is>
      </c>
      <c r="F58" t="inlineStr">
        <is>
          <t>Kommuner</t>
        </is>
      </c>
      <c r="G58" t="n">
        <v>5.1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2025-08-26T08:36:19Z</dcterms:created>
  <dcterms:modified xmlns:dcterms="http://purl.org/dc/terms/" xmlns:xsi="http://www.w3.org/2001/XMLSchema-instance" xsi:type="dcterms:W3CDTF">2025-08-26T08:36:19Z</dcterms:modified>
</cp:coreProperties>
</file>