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46317</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46317</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46317</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46317</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46317</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46317</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46317</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46317</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46919-2023</t>
        </is>
      </c>
      <c r="B10" t="inlineStr">
        <is>
          <t>avverkningsanmälan</t>
        </is>
      </c>
      <c r="C10" t="inlineStr">
        <is>
          <t>Föryngringsavverkning</t>
        </is>
      </c>
      <c r="D10" s="1" t="n">
        <v>45201</v>
      </c>
      <c r="E10" s="1" t="n">
        <v>46317</v>
      </c>
      <c r="F10" t="inlineStr">
        <is>
          <t>STOCKHOLMS LÄN</t>
        </is>
      </c>
      <c r="G10" t="inlineStr">
        <is>
          <t>SALEM</t>
        </is>
      </c>
      <c r="H10" t="inlineStr">
        <is>
          <t>Kommuner</t>
        </is>
      </c>
      <c r="I10" t="n">
        <v>1.3</v>
      </c>
      <c r="J10" t="n">
        <v>2</v>
      </c>
      <c r="K10" t="n">
        <v>0</v>
      </c>
      <c r="L10" t="n">
        <v>1</v>
      </c>
      <c r="M10" t="n">
        <v>0</v>
      </c>
      <c r="N10" t="n">
        <v>0</v>
      </c>
      <c r="O10" t="n">
        <v>0</v>
      </c>
      <c r="P10" t="n">
        <v>0</v>
      </c>
      <c r="Q10" t="n">
        <v>1</v>
      </c>
      <c r="R10" t="n">
        <v>0</v>
      </c>
      <c r="S10" t="n">
        <v>2</v>
      </c>
      <c r="T10" t="n">
        <v>2</v>
      </c>
      <c r="U10" t="n">
        <v>2</v>
      </c>
      <c r="V10" s="2" t="inlineStr">
        <is>
          <t>Talltita
Tofsmes</t>
        </is>
      </c>
      <c r="W10">
        <f>HYPERLINK("https://klasma.github.io/Logging_0128/artfynd/A 46919-2023 artfynd.xlsx", "A 46919-2023")</f>
        <v/>
      </c>
      <c r="X10">
        <f>HYPERLINK("https://klasma.github.io/Logging_0128/kartor/A 46919-2023 karta.png", "A 46919-2023")</f>
        <v/>
      </c>
      <c r="Y10">
        <f>HYPERLINK("https://klasma.github.io/Logging_0128/kartor_geotiff/A 46919-2023 georefererad karta.tif", "A 46919-2023")</f>
        <v/>
      </c>
      <c r="AA10">
        <f>HYPERLINK("https://klasma.github.io/Logging_0128/klagomål/A 46919-2023 FSC-klagomål.docx", "A 46919-2023")</f>
        <v/>
      </c>
      <c r="AB10">
        <f>HYPERLINK("https://klasma.github.io/Logging_0128/klagomålsmail/A 46919-2023 FSC-klagomål mail.docx", "A 46919-2023")</f>
        <v/>
      </c>
      <c r="AC10">
        <f>HYPERLINK("https://klasma.github.io/Logging_0128/tillsyn/A 46919-2023 tillsynsbegäran.docx", "A 46919-2023")</f>
        <v/>
      </c>
      <c r="AD10">
        <f>HYPERLINK("https://klasma.github.io/Logging_0128/tillsynsmail/A 46919-2023 tillsynsbegäran mail.docx", "A 46919-2023")</f>
        <v/>
      </c>
      <c r="AE10">
        <f>HYPERLINK("https://klasma.github.io/Logging_0128/fåglar/A 46919-2023 prioriterade fågelarter.docx", "A 46919-2023")</f>
        <v/>
      </c>
    </row>
    <row r="11" ht="15" customHeight="1">
      <c r="A11" t="inlineStr">
        <is>
          <t>A 33473-2025</t>
        </is>
      </c>
      <c r="B11" t="inlineStr">
        <is>
          <t>avverkningsanmälan</t>
        </is>
      </c>
      <c r="C11" t="inlineStr">
        <is>
          <t>Avverkning för att bevara och utveckla /försöksver</t>
        </is>
      </c>
      <c r="D11" s="1" t="n">
        <v>45839</v>
      </c>
      <c r="E11" s="1" t="n">
        <v>46317</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A 2987-2023</t>
        </is>
      </c>
      <c r="B12" t="inlineStr">
        <is>
          <t>avverkningsanmälan</t>
        </is>
      </c>
      <c r="C12" t="inlineStr">
        <is>
          <t>Föryngringsavverkning</t>
        </is>
      </c>
      <c r="D12" s="1" t="n">
        <v>44945</v>
      </c>
      <c r="E12" s="1" t="n">
        <v>46317</v>
      </c>
      <c r="F12" t="inlineStr">
        <is>
          <t>STOCKHOLMS LÄN</t>
        </is>
      </c>
      <c r="G12" t="inlineStr">
        <is>
          <t>SALEM</t>
        </is>
      </c>
      <c r="H12" t="inlineStr">
        <is>
          <t>Kommuner</t>
        </is>
      </c>
      <c r="I12" t="n">
        <v>6.2</v>
      </c>
      <c r="J12" t="n">
        <v>0</v>
      </c>
      <c r="K12" t="n">
        <v>0</v>
      </c>
      <c r="L12" t="n">
        <v>1</v>
      </c>
      <c r="M12" t="n">
        <v>0</v>
      </c>
      <c r="N12" t="n">
        <v>0</v>
      </c>
      <c r="O12" t="n">
        <v>0</v>
      </c>
      <c r="P12" t="n">
        <v>0</v>
      </c>
      <c r="Q12" t="n">
        <v>1</v>
      </c>
      <c r="R12" t="n">
        <v>0</v>
      </c>
      <c r="S12" t="n">
        <v>1</v>
      </c>
      <c r="T12" t="n">
        <v>2</v>
      </c>
      <c r="U12" t="n">
        <v>2</v>
      </c>
      <c r="V12" s="2" t="inlineStr">
        <is>
          <t>Tallticka</t>
        </is>
      </c>
      <c r="W12">
        <f>HYPERLINK("https://klasma.github.io/Logging_0128/artfynd/A 2987-2023 artfynd.xlsx", "A 2987-2023")</f>
        <v/>
      </c>
      <c r="X12">
        <f>HYPERLINK("https://klasma.github.io/Logging_0128/kartor/A 2987-2023 karta.png", "A 2987-2023")</f>
        <v/>
      </c>
      <c r="Y12">
        <f>HYPERLINK("https://klasma.github.io/Logging_0128/kartor_geotiff/A 2987-2023 georefererad karta.tif", "A 2987-2023")</f>
        <v/>
      </c>
      <c r="AA12">
        <f>HYPERLINK("https://klasma.github.io/Logging_0128/klagomål/A 2987-2023 FSC-klagomål.docx", "A 2987-2023")</f>
        <v/>
      </c>
      <c r="AB12">
        <f>HYPERLINK("https://klasma.github.io/Logging_0128/klagomålsmail/A 2987-2023 FSC-klagomål mail.docx", "A 2987-2023")</f>
        <v/>
      </c>
      <c r="AC12">
        <f>HYPERLINK("https://klasma.github.io/Logging_0128/tillsyn/A 2987-2023 tillsynsbegäran.docx", "A 2987-2023")</f>
        <v/>
      </c>
      <c r="AD12">
        <f>HYPERLINK("https://klasma.github.io/Logging_0128/tillsynsmail/A 2987-2023 tillsynsbegäran mail.docx", "A 2987-2023")</f>
        <v/>
      </c>
    </row>
    <row r="13" ht="15" customHeight="1">
      <c r="A13" t="inlineStr">
        <is>
          <t>S 2180-2023</t>
        </is>
      </c>
      <c r="B13" t="inlineStr">
        <is>
          <t>samrådsanmälan</t>
        </is>
      </c>
      <c r="C13" t="inlineStr">
        <is>
          <t>Annan skogsbruksåtgärd</t>
        </is>
      </c>
      <c r="D13" s="1" t="n">
        <v>45098</v>
      </c>
      <c r="E13" s="1" t="n">
        <v>46317</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33428-2025</t>
        </is>
      </c>
      <c r="B14" t="inlineStr">
        <is>
          <t>avverkningsanmälan</t>
        </is>
      </c>
      <c r="C14" t="inlineStr">
        <is>
          <t>Avverkning för att bevara och utveckla /försöksver</t>
        </is>
      </c>
      <c r="D14" s="1" t="n">
        <v>45839</v>
      </c>
      <c r="E14" s="1" t="n">
        <v>46317</v>
      </c>
      <c r="F14" t="inlineStr">
        <is>
          <t>STOCKHOLMS LÄN</t>
        </is>
      </c>
      <c r="G14" t="inlineStr">
        <is>
          <t>SALEM</t>
        </is>
      </c>
      <c r="I14" t="n">
        <v>2.2</v>
      </c>
      <c r="J14" t="n">
        <v>0</v>
      </c>
      <c r="K14" t="n">
        <v>0</v>
      </c>
      <c r="L14" t="n">
        <v>0</v>
      </c>
      <c r="M14" t="n">
        <v>0</v>
      </c>
      <c r="N14" t="n">
        <v>0</v>
      </c>
      <c r="O14" t="n">
        <v>0</v>
      </c>
      <c r="P14" t="n">
        <v>0</v>
      </c>
      <c r="Q14" t="n">
        <v>0</v>
      </c>
      <c r="R14" t="n">
        <v>0</v>
      </c>
      <c r="S14" t="n">
        <v>0</v>
      </c>
      <c r="T14" t="n">
        <v>0</v>
      </c>
      <c r="U14" t="n">
        <v>0</v>
      </c>
      <c r="V14" s="2" t="inlineStr"/>
    </row>
    <row r="15" ht="15" customHeight="1">
      <c r="A15" t="inlineStr">
        <is>
          <t>A 32946-2025</t>
        </is>
      </c>
      <c r="B15" t="inlineStr">
        <is>
          <t>avverkningsanmälan</t>
        </is>
      </c>
      <c r="C15" t="inlineStr">
        <is>
          <t>Avverkning för att bevara och utveckla /försöksver</t>
        </is>
      </c>
      <c r="D15" s="1" t="n">
        <v>45839</v>
      </c>
      <c r="E15" s="1" t="n">
        <v>46317</v>
      </c>
      <c r="F15" t="inlineStr">
        <is>
          <t>STOCKHOLMS LÄN</t>
        </is>
      </c>
      <c r="G15" t="inlineStr">
        <is>
          <t>SALEM</t>
        </is>
      </c>
      <c r="I15" t="n">
        <v>1.6</v>
      </c>
      <c r="J15" t="n">
        <v>0</v>
      </c>
      <c r="K15" t="n">
        <v>0</v>
      </c>
      <c r="L15" t="n">
        <v>0</v>
      </c>
      <c r="M15" t="n">
        <v>0</v>
      </c>
      <c r="N15" t="n">
        <v>0</v>
      </c>
      <c r="O15" t="n">
        <v>0</v>
      </c>
      <c r="P15" t="n">
        <v>0</v>
      </c>
      <c r="Q15" t="n">
        <v>0</v>
      </c>
      <c r="R15" t="n">
        <v>0</v>
      </c>
      <c r="S15" t="n">
        <v>0</v>
      </c>
      <c r="T15" t="n">
        <v>0</v>
      </c>
      <c r="U15" t="n">
        <v>0</v>
      </c>
      <c r="V15" s="2" t="inlineStr"/>
    </row>
    <row r="16" ht="15" customHeight="1">
      <c r="A16" t="inlineStr">
        <is>
          <t>A 33277-2025</t>
        </is>
      </c>
      <c r="B16" t="inlineStr">
        <is>
          <t>avverkningsanmälan</t>
        </is>
      </c>
      <c r="C16" t="inlineStr">
        <is>
          <t>Avverkning för att bevara och utveckla /försöksver</t>
        </is>
      </c>
      <c r="D16" s="1" t="n">
        <v>45839</v>
      </c>
      <c r="E16" s="1" t="n">
        <v>46317</v>
      </c>
      <c r="F16" t="inlineStr">
        <is>
          <t>STOCKHOLMS LÄN</t>
        </is>
      </c>
      <c r="G16" t="inlineStr">
        <is>
          <t>SALEM</t>
        </is>
      </c>
      <c r="I16" t="n">
        <v>2.4</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46317</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46317</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46317</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33446-2025</t>
        </is>
      </c>
      <c r="B20" t="inlineStr">
        <is>
          <t>avverkningsanmälan</t>
        </is>
      </c>
      <c r="C20" t="inlineStr">
        <is>
          <t>Avverkning för att bevara och utveckla /försöksver</t>
        </is>
      </c>
      <c r="D20" s="1" t="n">
        <v>45839</v>
      </c>
      <c r="E20" s="1" t="n">
        <v>46317</v>
      </c>
      <c r="F20" t="inlineStr">
        <is>
          <t>STOCKHOLMS LÄN</t>
        </is>
      </c>
      <c r="G20" t="inlineStr">
        <is>
          <t>SALEM</t>
        </is>
      </c>
      <c r="I20" t="n">
        <v>9.4</v>
      </c>
      <c r="J20" t="n">
        <v>0</v>
      </c>
      <c r="K20" t="n">
        <v>0</v>
      </c>
      <c r="L20" t="n">
        <v>0</v>
      </c>
      <c r="M20" t="n">
        <v>0</v>
      </c>
      <c r="N20" t="n">
        <v>0</v>
      </c>
      <c r="O20" t="n">
        <v>0</v>
      </c>
      <c r="P20" t="n">
        <v>0</v>
      </c>
      <c r="Q20" t="n">
        <v>0</v>
      </c>
      <c r="R20" t="n">
        <v>0</v>
      </c>
      <c r="S20" t="n">
        <v>0</v>
      </c>
      <c r="T20" t="n">
        <v>0</v>
      </c>
      <c r="U20" t="n">
        <v>0</v>
      </c>
      <c r="V20" s="2" t="inlineStr"/>
    </row>
    <row r="21" ht="15" customHeight="1">
      <c r="A21" t="inlineStr">
        <is>
          <t>A 33421-2025</t>
        </is>
      </c>
      <c r="B21" t="inlineStr">
        <is>
          <t>avverkningsanmälan</t>
        </is>
      </c>
      <c r="C21" t="inlineStr">
        <is>
          <t>Avverkning för att bevara och utveckla /försöksver</t>
        </is>
      </c>
      <c r="D21" s="1" t="n">
        <v>45839</v>
      </c>
      <c r="E21" s="1" t="n">
        <v>46317</v>
      </c>
      <c r="F21" t="inlineStr">
        <is>
          <t>STOCKHOLMS LÄN</t>
        </is>
      </c>
      <c r="G21" t="inlineStr">
        <is>
          <t>SALEM</t>
        </is>
      </c>
      <c r="I21" t="n">
        <v>1</v>
      </c>
      <c r="J21" t="n">
        <v>0</v>
      </c>
      <c r="K21" t="n">
        <v>0</v>
      </c>
      <c r="L21" t="n">
        <v>0</v>
      </c>
      <c r="M21" t="n">
        <v>0</v>
      </c>
      <c r="N21" t="n">
        <v>0</v>
      </c>
      <c r="O21" t="n">
        <v>0</v>
      </c>
      <c r="P21" t="n">
        <v>0</v>
      </c>
      <c r="Q21" t="n">
        <v>0</v>
      </c>
      <c r="R21" t="n">
        <v>0</v>
      </c>
      <c r="S21" t="n">
        <v>0</v>
      </c>
      <c r="T21" t="n">
        <v>0</v>
      </c>
      <c r="U21" t="n">
        <v>0</v>
      </c>
      <c r="V21" s="2" t="inlineStr"/>
    </row>
    <row r="22" ht="15" customHeight="1">
      <c r="A22" t="inlineStr">
        <is>
          <t>A 33029-2025</t>
        </is>
      </c>
      <c r="B22" t="inlineStr">
        <is>
          <t>avverkningsanmälan</t>
        </is>
      </c>
      <c r="C22" t="inlineStr">
        <is>
          <t>Avverkning för att bevara och utveckla /försöksver</t>
        </is>
      </c>
      <c r="D22" s="1" t="n">
        <v>45839</v>
      </c>
      <c r="E22" s="1" t="n">
        <v>46317</v>
      </c>
      <c r="F22" t="inlineStr">
        <is>
          <t>STOCKHOLMS LÄN</t>
        </is>
      </c>
      <c r="G22" t="inlineStr">
        <is>
          <t>SALEM</t>
        </is>
      </c>
      <c r="I22" t="n">
        <v>1.5</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46317</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46317</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33441-2025</t>
        </is>
      </c>
      <c r="B25" t="inlineStr">
        <is>
          <t>avverkningsanmälan</t>
        </is>
      </c>
      <c r="C25" t="inlineStr">
        <is>
          <t>Avverkning för att bevara och utveckla /försöksver</t>
        </is>
      </c>
      <c r="D25" s="1" t="n">
        <v>45839</v>
      </c>
      <c r="E25" s="1" t="n">
        <v>46317</v>
      </c>
      <c r="F25" t="inlineStr">
        <is>
          <t>STOCKHOLMS LÄN</t>
        </is>
      </c>
      <c r="G25" t="inlineStr">
        <is>
          <t>SALEM</t>
        </is>
      </c>
      <c r="I25" t="n">
        <v>1.7</v>
      </c>
      <c r="J25" t="n">
        <v>0</v>
      </c>
      <c r="K25" t="n">
        <v>0</v>
      </c>
      <c r="L25" t="n">
        <v>0</v>
      </c>
      <c r="M25" t="n">
        <v>0</v>
      </c>
      <c r="N25" t="n">
        <v>0</v>
      </c>
      <c r="O25" t="n">
        <v>0</v>
      </c>
      <c r="P25" t="n">
        <v>0</v>
      </c>
      <c r="Q25" t="n">
        <v>0</v>
      </c>
      <c r="R25" t="n">
        <v>0</v>
      </c>
      <c r="S25" t="n">
        <v>0</v>
      </c>
      <c r="T25" t="n">
        <v>0</v>
      </c>
      <c r="U25" t="n">
        <v>0</v>
      </c>
      <c r="V25" s="2" t="inlineStr"/>
    </row>
    <row r="26" ht="15" customHeight="1">
      <c r="A26" t="inlineStr">
        <is>
          <t>A 33470-2025</t>
        </is>
      </c>
      <c r="B26" t="inlineStr">
        <is>
          <t>avverkningsanmälan</t>
        </is>
      </c>
      <c r="C26" t="inlineStr">
        <is>
          <t>Avverkning för att bevara och utveckla /försöksver</t>
        </is>
      </c>
      <c r="D26" s="1" t="n">
        <v>45839</v>
      </c>
      <c r="E26" s="1" t="n">
        <v>46317</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t="n">
        <v>0</v>
      </c>
      <c r="V26" s="2" t="inlineStr"/>
    </row>
    <row r="27" ht="15" customHeight="1">
      <c r="A27" t="inlineStr">
        <is>
          <t>A 33284-2025</t>
        </is>
      </c>
      <c r="B27" t="inlineStr">
        <is>
          <t>avverkningsanmälan</t>
        </is>
      </c>
      <c r="C27" t="inlineStr">
        <is>
          <t>Avverkning för att bevara och utveckla /försöksver</t>
        </is>
      </c>
      <c r="D27" s="1" t="n">
        <v>45839</v>
      </c>
      <c r="E27" s="1" t="n">
        <v>46317</v>
      </c>
      <c r="F27" t="inlineStr">
        <is>
          <t>STOCKHOLMS LÄN</t>
        </is>
      </c>
      <c r="G27" t="inlineStr">
        <is>
          <t>SALEM</t>
        </is>
      </c>
      <c r="I27" t="n">
        <v>3.3</v>
      </c>
      <c r="J27" t="n">
        <v>0</v>
      </c>
      <c r="K27" t="n">
        <v>0</v>
      </c>
      <c r="L27" t="n">
        <v>0</v>
      </c>
      <c r="M27" t="n">
        <v>0</v>
      </c>
      <c r="N27" t="n">
        <v>0</v>
      </c>
      <c r="O27" t="n">
        <v>0</v>
      </c>
      <c r="P27" t="n">
        <v>0</v>
      </c>
      <c r="Q27" t="n">
        <v>0</v>
      </c>
      <c r="R27" t="n">
        <v>0</v>
      </c>
      <c r="S27" t="n">
        <v>0</v>
      </c>
      <c r="T27" t="n">
        <v>0</v>
      </c>
      <c r="U27" t="n">
        <v>0</v>
      </c>
      <c r="V27" s="2" t="inlineStr"/>
    </row>
    <row r="28" ht="15" customHeight="1">
      <c r="A28" t="inlineStr">
        <is>
          <t>A 32962-2025</t>
        </is>
      </c>
      <c r="B28" t="inlineStr">
        <is>
          <t>avverkningsanmälan</t>
        </is>
      </c>
      <c r="C28" t="inlineStr">
        <is>
          <t>Avverkning för att bevara och utveckla /försöksver</t>
        </is>
      </c>
      <c r="D28" s="1" t="n">
        <v>45839</v>
      </c>
      <c r="E28" s="1" t="n">
        <v>46317</v>
      </c>
      <c r="F28" t="inlineStr">
        <is>
          <t>STOCKHOLMS LÄN</t>
        </is>
      </c>
      <c r="G28" t="inlineStr">
        <is>
          <t>SALEM</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32942-2025</t>
        </is>
      </c>
      <c r="B29" t="inlineStr">
        <is>
          <t>avverkningsanmälan</t>
        </is>
      </c>
      <c r="C29" t="inlineStr">
        <is>
          <t>Avverkning för att bevara och utveckla /försöksver</t>
        </is>
      </c>
      <c r="D29" s="1" t="n">
        <v>45839</v>
      </c>
      <c r="E29" s="1" t="n">
        <v>46317</v>
      </c>
      <c r="F29" t="inlineStr">
        <is>
          <t>STOCKHOLMS LÄN</t>
        </is>
      </c>
      <c r="G29" t="inlineStr">
        <is>
          <t>SALEM</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32965-2025</t>
        </is>
      </c>
      <c r="B30" t="inlineStr">
        <is>
          <t>avverkningsanmälan</t>
        </is>
      </c>
      <c r="C30" t="inlineStr">
        <is>
          <t>Avverkning för att bevara och utveckla /försöksver</t>
        </is>
      </c>
      <c r="D30" s="1" t="n">
        <v>45839</v>
      </c>
      <c r="E30" s="1" t="n">
        <v>46317</v>
      </c>
      <c r="F30" t="inlineStr">
        <is>
          <t>STOCKHOLMS LÄN</t>
        </is>
      </c>
      <c r="G30" t="inlineStr">
        <is>
          <t>SALEM</t>
        </is>
      </c>
      <c r="I30" t="n">
        <v>2.8</v>
      </c>
      <c r="J30" t="n">
        <v>0</v>
      </c>
      <c r="K30" t="n">
        <v>0</v>
      </c>
      <c r="L30" t="n">
        <v>0</v>
      </c>
      <c r="M30" t="n">
        <v>0</v>
      </c>
      <c r="N30" t="n">
        <v>0</v>
      </c>
      <c r="O30" t="n">
        <v>0</v>
      </c>
      <c r="P30" t="n">
        <v>0</v>
      </c>
      <c r="Q30" t="n">
        <v>0</v>
      </c>
      <c r="R30" t="n">
        <v>0</v>
      </c>
      <c r="S30" t="n">
        <v>0</v>
      </c>
      <c r="T30" t="n">
        <v>0</v>
      </c>
      <c r="U30" t="n">
        <v>0</v>
      </c>
      <c r="V30" s="2" t="inlineStr"/>
    </row>
    <row r="31" ht="15" customHeight="1">
      <c r="A31" t="inlineStr">
        <is>
          <t>A 32970-2025</t>
        </is>
      </c>
      <c r="B31" t="inlineStr">
        <is>
          <t>avverkningsanmälan</t>
        </is>
      </c>
      <c r="C31" t="inlineStr">
        <is>
          <t>Avverkning för att bevara och utveckla /försöksver</t>
        </is>
      </c>
      <c r="D31" s="1" t="n">
        <v>45839</v>
      </c>
      <c r="E31" s="1" t="n">
        <v>46317</v>
      </c>
      <c r="F31" t="inlineStr">
        <is>
          <t>STOCKHOLMS LÄN</t>
        </is>
      </c>
      <c r="G31" t="inlineStr">
        <is>
          <t>SALEM</t>
        </is>
      </c>
      <c r="I31" t="n">
        <v>10.5</v>
      </c>
      <c r="J31" t="n">
        <v>0</v>
      </c>
      <c r="K31" t="n">
        <v>0</v>
      </c>
      <c r="L31" t="n">
        <v>0</v>
      </c>
      <c r="M31" t="n">
        <v>0</v>
      </c>
      <c r="N31" t="n">
        <v>0</v>
      </c>
      <c r="O31" t="n">
        <v>0</v>
      </c>
      <c r="P31" t="n">
        <v>0</v>
      </c>
      <c r="Q31" t="n">
        <v>0</v>
      </c>
      <c r="R31" t="n">
        <v>0</v>
      </c>
      <c r="S31" t="n">
        <v>0</v>
      </c>
      <c r="T31" t="n">
        <v>0</v>
      </c>
      <c r="U31" t="n">
        <v>0</v>
      </c>
      <c r="V31" s="2" t="inlineStr"/>
    </row>
    <row r="32" ht="15" customHeight="1">
      <c r="A32" t="inlineStr">
        <is>
          <t>A 33439-2025</t>
        </is>
      </c>
      <c r="B32" t="inlineStr">
        <is>
          <t>avverkningsanmälan</t>
        </is>
      </c>
      <c r="C32" t="inlineStr">
        <is>
          <t>Avverkning för att bevara och utveckla /försöksver</t>
        </is>
      </c>
      <c r="D32" s="1" t="n">
        <v>45839</v>
      </c>
      <c r="E32" s="1" t="n">
        <v>46317</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33460-2025</t>
        </is>
      </c>
      <c r="B33" t="inlineStr">
        <is>
          <t>avverkningsanmälan</t>
        </is>
      </c>
      <c r="C33" t="inlineStr">
        <is>
          <t>Avverkning för att bevara och utveckla /försöksver</t>
        </is>
      </c>
      <c r="D33" s="1" t="n">
        <v>45839</v>
      </c>
      <c r="E33" s="1" t="n">
        <v>46317</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33465-2025</t>
        </is>
      </c>
      <c r="B34" t="inlineStr">
        <is>
          <t>avverkningsanmälan</t>
        </is>
      </c>
      <c r="C34" t="inlineStr">
        <is>
          <t>Avverkning för att bevara och utveckla /försöksver</t>
        </is>
      </c>
      <c r="D34" s="1" t="n">
        <v>45839</v>
      </c>
      <c r="E34" s="1" t="n">
        <v>46317</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32953-2025</t>
        </is>
      </c>
      <c r="B35" t="inlineStr">
        <is>
          <t>avverkningsanmälan</t>
        </is>
      </c>
      <c r="C35" t="inlineStr">
        <is>
          <t>Avverkning för att bevara och utveckla /försöksver</t>
        </is>
      </c>
      <c r="D35" s="1" t="n">
        <v>45839</v>
      </c>
      <c r="E35" s="1" t="n">
        <v>46317</v>
      </c>
      <c r="F35" t="inlineStr">
        <is>
          <t>STOCKHOLMS LÄN</t>
        </is>
      </c>
      <c r="G35" t="inlineStr">
        <is>
          <t>SALEM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46317</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58592-2023</t>
        </is>
      </c>
      <c r="B37" t="inlineStr">
        <is>
          <t>avverkningsanmälan</t>
        </is>
      </c>
      <c r="C37" t="inlineStr">
        <is>
          <t>Föryngringsavverkning</t>
        </is>
      </c>
      <c r="D37" s="1" t="n">
        <v>45251</v>
      </c>
      <c r="E37" s="1" t="n">
        <v>46317</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60733-2025</t>
        </is>
      </c>
      <c r="B38" t="inlineStr">
        <is>
          <t>avverkningsanmälan</t>
        </is>
      </c>
      <c r="C38" t="inlineStr">
        <is>
          <t>Föryngringsavverkning</t>
        </is>
      </c>
      <c r="D38" s="1" t="n">
        <v>45995</v>
      </c>
      <c r="E38" s="1" t="n">
        <v>46317</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60731-2025</t>
        </is>
      </c>
      <c r="B39" t="inlineStr">
        <is>
          <t>avverkningsanmälan</t>
        </is>
      </c>
      <c r="C39" t="inlineStr">
        <is>
          <t>Föryngringsavverkning</t>
        </is>
      </c>
      <c r="D39" s="1" t="n">
        <v>45995</v>
      </c>
      <c r="E39" s="1" t="n">
        <v>46317</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61336-2022</t>
        </is>
      </c>
      <c r="B40" t="inlineStr">
        <is>
          <t>avverkningsanmälan</t>
        </is>
      </c>
      <c r="C40" t="inlineStr">
        <is>
          <t>Föryngringsavverkning</t>
        </is>
      </c>
      <c r="D40" s="1" t="n">
        <v>44915</v>
      </c>
      <c r="E40" s="1" t="n">
        <v>46317</v>
      </c>
      <c r="F40" t="inlineStr">
        <is>
          <t>STOCKHOLMS LÄN</t>
        </is>
      </c>
      <c r="G40" t="inlineStr">
        <is>
          <t>SALEM</t>
        </is>
      </c>
      <c r="H40" t="inlineStr">
        <is>
          <t>Kommuner</t>
        </is>
      </c>
      <c r="I40" t="n">
        <v>5.6</v>
      </c>
      <c r="J40" t="n">
        <v>0</v>
      </c>
      <c r="K40" t="n">
        <v>0</v>
      </c>
      <c r="L40" t="n">
        <v>0</v>
      </c>
      <c r="M40" t="n">
        <v>0</v>
      </c>
      <c r="N40" t="n">
        <v>0</v>
      </c>
      <c r="O40" t="n">
        <v>0</v>
      </c>
      <c r="P40" t="n">
        <v>0</v>
      </c>
      <c r="Q40" t="n">
        <v>0</v>
      </c>
      <c r="R40" t="n">
        <v>0</v>
      </c>
      <c r="S40" t="n">
        <v>0</v>
      </c>
      <c r="T40" t="n">
        <v>0</v>
      </c>
      <c r="U40" t="n">
        <v>0</v>
      </c>
      <c r="V40" s="2" t="inlineStr"/>
    </row>
    <row r="41" ht="15" customHeight="1">
      <c r="A41" t="inlineStr">
        <is>
          <t>A 33281-2025</t>
        </is>
      </c>
      <c r="B41" t="inlineStr">
        <is>
          <t>avverkningsanmälan</t>
        </is>
      </c>
      <c r="C41" t="inlineStr">
        <is>
          <t>Avverkning för att bevara och utveckla /försöksver</t>
        </is>
      </c>
      <c r="D41" s="1" t="n">
        <v>45839</v>
      </c>
      <c r="E41" s="1" t="n">
        <v>46317</v>
      </c>
      <c r="F41" t="inlineStr">
        <is>
          <t>STOCKHOLMS LÄN</t>
        </is>
      </c>
      <c r="G41" t="inlineStr">
        <is>
          <t>SALEM</t>
        </is>
      </c>
      <c r="I41" t="n">
        <v>2.6</v>
      </c>
      <c r="J41" t="n">
        <v>0</v>
      </c>
      <c r="K41" t="n">
        <v>0</v>
      </c>
      <c r="L41" t="n">
        <v>0</v>
      </c>
      <c r="M41" t="n">
        <v>0</v>
      </c>
      <c r="N41" t="n">
        <v>0</v>
      </c>
      <c r="O41" t="n">
        <v>0</v>
      </c>
      <c r="P41" t="n">
        <v>0</v>
      </c>
      <c r="Q41" t="n">
        <v>0</v>
      </c>
      <c r="R41" t="n">
        <v>0</v>
      </c>
      <c r="S41" t="n">
        <v>0</v>
      </c>
      <c r="T41" t="n">
        <v>0</v>
      </c>
      <c r="U41" t="n">
        <v>0</v>
      </c>
      <c r="V41" s="2" t="inlineStr"/>
    </row>
    <row r="42" ht="15" customHeight="1">
      <c r="A42" t="inlineStr">
        <is>
          <t>A 51720-2023</t>
        </is>
      </c>
      <c r="B42" t="inlineStr">
        <is>
          <t>avverkningsanmälan</t>
        </is>
      </c>
      <c r="C42" t="inlineStr">
        <is>
          <t>Avverkning för att bevara och utveckla /försöksver</t>
        </is>
      </c>
      <c r="D42" s="1" t="n">
        <v>45222</v>
      </c>
      <c r="E42" s="1" t="n">
        <v>46317</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46317</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46317</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46317</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46317</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46317</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2026-10-22T01:53:49Z</dcterms:created>
  <dcterms:modified xmlns:dcterms="http://purl.org/dc/terms/" xmlns:xsi="http://www.w3.org/2001/XMLSchema-instance" xsi:type="dcterms:W3CDTF">2026-10-22T01:53:49Z</dcterms:modified>
</cp:coreProperties>
</file>