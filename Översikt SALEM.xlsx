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46919-2023</t>
        </is>
      </c>
      <c r="B10" t="inlineStr">
        <is>
          <t>avverkningsanmälan</t>
        </is>
      </c>
      <c r="C10" t="inlineStr">
        <is>
          <t>Föryngringsavverkning</t>
        </is>
      </c>
      <c r="D10" s="1" t="n">
        <v>45201</v>
      </c>
      <c r="E10" s="1" t="n">
        <v>46309</v>
      </c>
      <c r="F10" t="inlineStr">
        <is>
          <t>STOCKHOLMS LÄN</t>
        </is>
      </c>
      <c r="G10" t="inlineStr">
        <is>
          <t>SALEM</t>
        </is>
      </c>
      <c r="H10" t="inlineStr">
        <is>
          <t>Kommuner</t>
        </is>
      </c>
      <c r="I10" t="n">
        <v>1.3</v>
      </c>
      <c r="J10" t="n">
        <v>2</v>
      </c>
      <c r="K10" t="n">
        <v>0</v>
      </c>
      <c r="L10" t="n">
        <v>1</v>
      </c>
      <c r="M10" t="n">
        <v>0</v>
      </c>
      <c r="N10" t="n">
        <v>0</v>
      </c>
      <c r="O10" t="n">
        <v>0</v>
      </c>
      <c r="P10" t="n">
        <v>0</v>
      </c>
      <c r="Q10" t="n">
        <v>1</v>
      </c>
      <c r="R10" t="n">
        <v>0</v>
      </c>
      <c r="S10" t="n">
        <v>2</v>
      </c>
      <c r="T10" t="n">
        <v>2</v>
      </c>
      <c r="U10" t="n">
        <v>2</v>
      </c>
      <c r="V10" s="2" t="inlineStr">
        <is>
          <t>Talltita
Tofsmes</t>
        </is>
      </c>
      <c r="W10">
        <f>HYPERLINK("https://klasma.github.io/Logging_0128/artfynd/A 46919-2023 artfynd.xlsx", "A 46919-2023")</f>
        <v/>
      </c>
      <c r="X10">
        <f>HYPERLINK("https://klasma.github.io/Logging_0128/kartor/A 46919-2023 karta.png", "A 46919-2023")</f>
        <v/>
      </c>
      <c r="Y10">
        <f>HYPERLINK("https://klasma.github.io/Logging_0128/kartor_geotiff/A 46919-2023 georefererad karta.tif", "A 46919-2023")</f>
        <v/>
      </c>
      <c r="AA10">
        <f>HYPERLINK("https://klasma.github.io/Logging_0128/klagomål/A 46919-2023 FSC-klagomål.docx", "A 46919-2023")</f>
        <v/>
      </c>
      <c r="AB10">
        <f>HYPERLINK("https://klasma.github.io/Logging_0128/klagomålsmail/A 46919-2023 FSC-klagomål mail.docx", "A 46919-2023")</f>
        <v/>
      </c>
      <c r="AC10">
        <f>HYPERLINK("https://klasma.github.io/Logging_0128/tillsyn/A 46919-2023 tillsynsbegäran.docx", "A 46919-2023")</f>
        <v/>
      </c>
      <c r="AD10">
        <f>HYPERLINK("https://klasma.github.io/Logging_0128/tillsynsmail/A 46919-2023 tillsynsbegäran mail.docx", "A 46919-2023")</f>
        <v/>
      </c>
      <c r="AE10">
        <f>HYPERLINK("https://klasma.github.io/Logging_0128/fåglar/A 46919-2023 prioriterade fågelarter.docx", "A 46919-2023")</f>
        <v/>
      </c>
    </row>
    <row r="11" ht="15" customHeight="1">
      <c r="A11" t="inlineStr">
        <is>
          <t>A 33473-2025</t>
        </is>
      </c>
      <c r="B11" t="inlineStr">
        <is>
          <t>avverkningsanmälan</t>
        </is>
      </c>
      <c r="C11" t="inlineStr">
        <is>
          <t>Avverkning för att bevara och utveckla /försöksver</t>
        </is>
      </c>
      <c r="D11" s="1" t="n">
        <v>45839</v>
      </c>
      <c r="E11" s="1" t="n">
        <v>46309</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A 2987-2023</t>
        </is>
      </c>
      <c r="B12" t="inlineStr">
        <is>
          <t>avverkningsanmälan</t>
        </is>
      </c>
      <c r="C12" t="inlineStr">
        <is>
          <t>Föryngringsavverkning</t>
        </is>
      </c>
      <c r="D12" s="1" t="n">
        <v>44945</v>
      </c>
      <c r="E12" s="1" t="n">
        <v>46309</v>
      </c>
      <c r="F12" t="inlineStr">
        <is>
          <t>STOCKHOLMS LÄN</t>
        </is>
      </c>
      <c r="G12" t="inlineStr">
        <is>
          <t>SALEM</t>
        </is>
      </c>
      <c r="H12" t="inlineStr">
        <is>
          <t>Kommuner</t>
        </is>
      </c>
      <c r="I12" t="n">
        <v>6.2</v>
      </c>
      <c r="J12" t="n">
        <v>0</v>
      </c>
      <c r="K12" t="n">
        <v>0</v>
      </c>
      <c r="L12" t="n">
        <v>1</v>
      </c>
      <c r="M12" t="n">
        <v>0</v>
      </c>
      <c r="N12" t="n">
        <v>0</v>
      </c>
      <c r="O12" t="n">
        <v>0</v>
      </c>
      <c r="P12" t="n">
        <v>0</v>
      </c>
      <c r="Q12" t="n">
        <v>1</v>
      </c>
      <c r="R12" t="n">
        <v>0</v>
      </c>
      <c r="S12" t="n">
        <v>1</v>
      </c>
      <c r="T12" t="n">
        <v>2</v>
      </c>
      <c r="U12" t="n">
        <v>2</v>
      </c>
      <c r="V12" s="2" t="inlineStr">
        <is>
          <t>Tallticka</t>
        </is>
      </c>
      <c r="W12">
        <f>HYPERLINK("https://klasma.github.io/Logging_0128/artfynd/A 2987-2023 artfynd.xlsx", "A 2987-2023")</f>
        <v/>
      </c>
      <c r="X12">
        <f>HYPERLINK("https://klasma.github.io/Logging_0128/kartor/A 2987-2023 karta.png", "A 2987-2023")</f>
        <v/>
      </c>
      <c r="Y12">
        <f>HYPERLINK("https://klasma.github.io/Logging_0128/kartor_geotiff/A 2987-2023 georefererad karta.tif", "A 2987-2023")</f>
        <v/>
      </c>
      <c r="AA12">
        <f>HYPERLINK("https://klasma.github.io/Logging_0128/klagomål/A 2987-2023 FSC-klagomål.docx", "A 2987-2023")</f>
        <v/>
      </c>
      <c r="AB12">
        <f>HYPERLINK("https://klasma.github.io/Logging_0128/klagomålsmail/A 2987-2023 FSC-klagomål mail.docx", "A 2987-2023")</f>
        <v/>
      </c>
      <c r="AC12">
        <f>HYPERLINK("https://klasma.github.io/Logging_0128/tillsyn/A 2987-2023 tillsynsbegäran.docx", "A 2987-2023")</f>
        <v/>
      </c>
      <c r="AD12">
        <f>HYPERLINK("https://klasma.github.io/Logging_0128/tillsynsmail/A 2987-2023 tillsynsbegäran mail.docx", "A 2987-2023")</f>
        <v/>
      </c>
    </row>
    <row r="13" ht="15" customHeight="1">
      <c r="A13" t="inlineStr">
        <is>
          <t>S 2180-2023</t>
        </is>
      </c>
      <c r="B13" t="inlineStr">
        <is>
          <t>samrådsanmälan</t>
        </is>
      </c>
      <c r="C13" t="inlineStr">
        <is>
          <t>Annan skogsbruksåtgärd</t>
        </is>
      </c>
      <c r="D13" s="1" t="n">
        <v>45098</v>
      </c>
      <c r="E13" s="1" t="n">
        <v>46309</v>
      </c>
      <c r="F13" t="inlineStr">
        <is>
          <t>STOCKHOLMS LÄN</t>
        </is>
      </c>
      <c r="G13" t="inlineStr">
        <is>
          <t>SALEM</t>
        </is>
      </c>
      <c r="I13" t="n">
        <v>3.4</v>
      </c>
      <c r="J13" t="n">
        <v>0</v>
      </c>
      <c r="K13" t="n">
        <v>0</v>
      </c>
      <c r="L13" t="n">
        <v>1</v>
      </c>
      <c r="M13" t="n">
        <v>0</v>
      </c>
      <c r="N13" t="n">
        <v>0</v>
      </c>
      <c r="O13" t="n">
        <v>0</v>
      </c>
      <c r="P13" t="n">
        <v>0</v>
      </c>
      <c r="Q13" t="n">
        <v>1</v>
      </c>
      <c r="R13" t="n">
        <v>0</v>
      </c>
      <c r="S13" t="n">
        <v>1</v>
      </c>
      <c r="T13" t="n">
        <v>1</v>
      </c>
      <c r="U13" t="n">
        <v>1</v>
      </c>
      <c r="V13" s="2" t="inlineStr">
        <is>
          <t>Fläckvingad träfluga</t>
        </is>
      </c>
      <c r="W13">
        <f>HYPERLINK("https://klasma.github.io/Logging_0128/artfynd/S 2180-2023 artfynd.xlsx", "S 2180-2023")</f>
        <v/>
      </c>
      <c r="X13">
        <f>HYPERLINK("https://klasma.github.io/Logging_0128/kartor/S 2180-2023 karta.png", "S 2180-2023")</f>
        <v/>
      </c>
      <c r="Y13">
        <f>HYPERLINK("https://klasma.github.io/Logging_0128/kartor_geotiff/S 2180-2023 georefererad karta.tif", "S 2180-2023")</f>
        <v/>
      </c>
      <c r="AA13">
        <f>HYPERLINK("https://klasma.github.io/Logging_0128/klagomål/S 2180-2023 FSC-klagomål.docx", "S 2180-2023")</f>
        <v/>
      </c>
      <c r="AB13">
        <f>HYPERLINK("https://klasma.github.io/Logging_0128/klagomålsmail/S 2180-2023 FSC-klagomål mail.docx", "S 2180-2023")</f>
        <v/>
      </c>
      <c r="AC13">
        <f>HYPERLINK("https://klasma.github.io/Logging_0128/tillsyn/S 2180-2023 tillsynsbegäran.docx", "S 2180-2023")</f>
        <v/>
      </c>
      <c r="AD13">
        <f>HYPERLINK("https://klasma.github.io/Logging_0128/tillsynsmail/S 2180-2023 tillsynsbegäran mail.docx", "S 2180-2023")</f>
        <v/>
      </c>
    </row>
    <row r="14" ht="15" customHeight="1">
      <c r="A14" t="inlineStr">
        <is>
          <t>A 33428-2025</t>
        </is>
      </c>
      <c r="B14" t="inlineStr">
        <is>
          <t>avverkningsanmälan</t>
        </is>
      </c>
      <c r="C14" t="inlineStr">
        <is>
          <t>Avverkning för att bevara och utveckla /försöksver</t>
        </is>
      </c>
      <c r="D14" s="1" t="n">
        <v>45839</v>
      </c>
      <c r="E14" s="1" t="n">
        <v>46309</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t="n">
        <v>0</v>
      </c>
      <c r="V14" s="2" t="inlineStr"/>
    </row>
    <row r="15" ht="15" customHeight="1">
      <c r="A15" t="inlineStr">
        <is>
          <t>A 32946-2025</t>
        </is>
      </c>
      <c r="B15" t="inlineStr">
        <is>
          <t>avverkningsanmälan</t>
        </is>
      </c>
      <c r="C15" t="inlineStr">
        <is>
          <t>Avverkning för att bevara och utveckla /försöksver</t>
        </is>
      </c>
      <c r="D15" s="1" t="n">
        <v>45839</v>
      </c>
      <c r="E15" s="1" t="n">
        <v>46309</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t="n">
        <v>0</v>
      </c>
      <c r="V15" s="2" t="inlineStr"/>
    </row>
    <row r="16" ht="15" customHeight="1">
      <c r="A16" t="inlineStr">
        <is>
          <t>A 33277-2025</t>
        </is>
      </c>
      <c r="B16" t="inlineStr">
        <is>
          <t>avverkningsanmälan</t>
        </is>
      </c>
      <c r="C16" t="inlineStr">
        <is>
          <t>Avverkning för att bevara och utveckla /försöksver</t>
        </is>
      </c>
      <c r="D16" s="1" t="n">
        <v>45839</v>
      </c>
      <c r="E16" s="1" t="n">
        <v>46309</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46309</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46309</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46309</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33446-2025</t>
        </is>
      </c>
      <c r="B20" t="inlineStr">
        <is>
          <t>avverkningsanmälan</t>
        </is>
      </c>
      <c r="C20" t="inlineStr">
        <is>
          <t>Avverkning för att bevara och utveckla /försöksver</t>
        </is>
      </c>
      <c r="D20" s="1" t="n">
        <v>45839</v>
      </c>
      <c r="E20" s="1" t="n">
        <v>46309</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t="n">
        <v>0</v>
      </c>
      <c r="V20" s="2" t="inlineStr"/>
    </row>
    <row r="21" ht="15" customHeight="1">
      <c r="A21" t="inlineStr">
        <is>
          <t>A 33421-2025</t>
        </is>
      </c>
      <c r="B21" t="inlineStr">
        <is>
          <t>avverkningsanmälan</t>
        </is>
      </c>
      <c r="C21" t="inlineStr">
        <is>
          <t>Avverkning för att bevara och utveckla /försöksver</t>
        </is>
      </c>
      <c r="D21" s="1" t="n">
        <v>45839</v>
      </c>
      <c r="E21" s="1" t="n">
        <v>46309</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t="n">
        <v>0</v>
      </c>
      <c r="V21" s="2" t="inlineStr"/>
    </row>
    <row r="22" ht="15" customHeight="1">
      <c r="A22" t="inlineStr">
        <is>
          <t>A 33029-2025</t>
        </is>
      </c>
      <c r="B22" t="inlineStr">
        <is>
          <t>avverkningsanmälan</t>
        </is>
      </c>
      <c r="C22" t="inlineStr">
        <is>
          <t>Avverkning för att bevara och utveckla /försöksver</t>
        </is>
      </c>
      <c r="D22" s="1" t="n">
        <v>45839</v>
      </c>
      <c r="E22" s="1" t="n">
        <v>46309</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46309</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46309</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33441-2025</t>
        </is>
      </c>
      <c r="B25" t="inlineStr">
        <is>
          <t>avverkningsanmälan</t>
        </is>
      </c>
      <c r="C25" t="inlineStr">
        <is>
          <t>Avverkning för att bevara och utveckla /försöksver</t>
        </is>
      </c>
      <c r="D25" s="1" t="n">
        <v>45839</v>
      </c>
      <c r="E25" s="1" t="n">
        <v>46309</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46309</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33284-2025</t>
        </is>
      </c>
      <c r="B27" t="inlineStr">
        <is>
          <t>avverkningsanmälan</t>
        </is>
      </c>
      <c r="C27" t="inlineStr">
        <is>
          <t>Avverkning för att bevara och utveckla /försöksver</t>
        </is>
      </c>
      <c r="D27" s="1" t="n">
        <v>45839</v>
      </c>
      <c r="E27" s="1" t="n">
        <v>46309</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t="n">
        <v>0</v>
      </c>
      <c r="V27" s="2" t="inlineStr"/>
    </row>
    <row r="28" ht="15" customHeight="1">
      <c r="A28" t="inlineStr">
        <is>
          <t>A 32962-2025</t>
        </is>
      </c>
      <c r="B28" t="inlineStr">
        <is>
          <t>avverkningsanmälan</t>
        </is>
      </c>
      <c r="C28" t="inlineStr">
        <is>
          <t>Avverkning för att bevara och utveckla /försöksver</t>
        </is>
      </c>
      <c r="D28" s="1" t="n">
        <v>45839</v>
      </c>
      <c r="E28" s="1" t="n">
        <v>46309</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46309</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46309</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46309</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46309</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46309</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46309</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32953-2025</t>
        </is>
      </c>
      <c r="B35" t="inlineStr">
        <is>
          <t>avverkningsanmälan</t>
        </is>
      </c>
      <c r="C35" t="inlineStr">
        <is>
          <t>Avverkning för att bevara och utveckla /försöksver</t>
        </is>
      </c>
      <c r="D35" s="1" t="n">
        <v>45839</v>
      </c>
      <c r="E35" s="1" t="n">
        <v>46309</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46309</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58592-2023</t>
        </is>
      </c>
      <c r="B37" t="inlineStr">
        <is>
          <t>avverkningsanmälan</t>
        </is>
      </c>
      <c r="C37" t="inlineStr">
        <is>
          <t>Föryngringsavverkning</t>
        </is>
      </c>
      <c r="D37" s="1" t="n">
        <v>45251</v>
      </c>
      <c r="E37" s="1" t="n">
        <v>46309</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46309</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46309</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61336-2022</t>
        </is>
      </c>
      <c r="B40" t="inlineStr">
        <is>
          <t>avverkningsanmälan</t>
        </is>
      </c>
      <c r="C40" t="inlineStr">
        <is>
          <t>Föryngringsavverkning</t>
        </is>
      </c>
      <c r="D40" s="1" t="n">
        <v>44915</v>
      </c>
      <c r="E40" s="1" t="n">
        <v>46309</v>
      </c>
      <c r="F40" t="inlineStr">
        <is>
          <t>STOCKHOLMS LÄN</t>
        </is>
      </c>
      <c r="G40" t="inlineStr">
        <is>
          <t>SALEM</t>
        </is>
      </c>
      <c r="H40" t="inlineStr">
        <is>
          <t>Kommuner</t>
        </is>
      </c>
      <c r="I40" t="n">
        <v>5.6</v>
      </c>
      <c r="J40" t="n">
        <v>0</v>
      </c>
      <c r="K40" t="n">
        <v>0</v>
      </c>
      <c r="L40" t="n">
        <v>0</v>
      </c>
      <c r="M40" t="n">
        <v>0</v>
      </c>
      <c r="N40" t="n">
        <v>0</v>
      </c>
      <c r="O40" t="n">
        <v>0</v>
      </c>
      <c r="P40" t="n">
        <v>0</v>
      </c>
      <c r="Q40" t="n">
        <v>0</v>
      </c>
      <c r="R40" t="n">
        <v>0</v>
      </c>
      <c r="S40" t="n">
        <v>0</v>
      </c>
      <c r="T40" t="n">
        <v>0</v>
      </c>
      <c r="U40" t="n">
        <v>0</v>
      </c>
      <c r="V40" s="2" t="inlineStr"/>
    </row>
    <row r="41" ht="15" customHeight="1">
      <c r="A41" t="inlineStr">
        <is>
          <t>A 33281-2025</t>
        </is>
      </c>
      <c r="B41" t="inlineStr">
        <is>
          <t>avverkningsanmälan</t>
        </is>
      </c>
      <c r="C41" t="inlineStr">
        <is>
          <t>Avverkning för att bevara och utveckla /försöksver</t>
        </is>
      </c>
      <c r="D41" s="1" t="n">
        <v>45839</v>
      </c>
      <c r="E41" s="1" t="n">
        <v>46309</v>
      </c>
      <c r="F41" t="inlineStr">
        <is>
          <t>STOCKHOLMS LÄN</t>
        </is>
      </c>
      <c r="G41" t="inlineStr">
        <is>
          <t>SALEM</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46309</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46309</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46309</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46309</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46309</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46309</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2026-10-14T02:06:28Z</dcterms:created>
  <dcterms:modified xmlns:dcterms="http://purl.org/dc/terms/" xmlns:xsi="http://www.w3.org/2001/XMLSchema-instance" xsi:type="dcterms:W3CDTF">2026-10-14T02:06:28Z</dcterms:modified>
</cp:coreProperties>
</file>