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45692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45692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45692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45692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45692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45692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45692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45692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45692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45692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45692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45158-2020</t>
        </is>
      </c>
      <c r="B13" s="1" t="n">
        <v>44088</v>
      </c>
      <c r="C13" s="1" t="n">
        <v>45692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HYPERLINK("https://klasma.github.io/Logging_0128/artfynd/A 45158-2020 artfynd.xlsx", "A 45158-2020")</f>
        <v/>
      </c>
      <c r="T13">
        <f>HYPERLINK("https://klasma.github.io/Logging_0128/kartor/A 45158-2020 karta.png", "A 45158-2020")</f>
        <v/>
      </c>
      <c r="V13">
        <f>HYPERLINK("https://klasma.github.io/Logging_0128/klagomål/A 45158-2020 FSC-klagomål.docx", "A 45158-2020")</f>
        <v/>
      </c>
      <c r="W13">
        <f>HYPERLINK("https://klasma.github.io/Logging_0128/klagomålsmail/A 45158-2020 FSC-klagomål mail.docx", "A 45158-2020")</f>
        <v/>
      </c>
      <c r="X13">
        <f>HYPERLINK("https://klasma.github.io/Logging_0128/tillsyn/A 45158-2020 tillsynsbegäran.docx", "A 45158-2020")</f>
        <v/>
      </c>
      <c r="Y13">
        <f>HYPERLINK("https://klasma.github.io/Logging_0128/tillsynsmail/A 45158-2020 tillsynsbegäran mail.docx", "A 45158-2020")</f>
        <v/>
      </c>
      <c r="Z13">
        <f>HYPERLINK("https://klasma.github.io/Logging_0128/fåglar/A 45158-2020 prioriterade fågelarter.docx", "A 45158-2020")</f>
        <v/>
      </c>
    </row>
    <row r="14" ht="15" customHeight="1">
      <c r="A14" t="inlineStr">
        <is>
          <t>A 2987-2023</t>
        </is>
      </c>
      <c r="B14" s="1" t="n">
        <v>44945</v>
      </c>
      <c r="C14" s="1" t="n">
        <v>45692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HYPERLINK("https://klasma.github.io/Logging_0128/artfynd/A 2987-2023 artfynd.xlsx", "A 2987-2023")</f>
        <v/>
      </c>
      <c r="T14">
        <f>HYPERLINK("https://klasma.github.io/Logging_0128/kartor/A 2987-2023 karta.png", "A 2987-2023")</f>
        <v/>
      </c>
      <c r="V14">
        <f>HYPERLINK("https://klasma.github.io/Logging_0128/klagomål/A 2987-2023 FSC-klagomål.docx", "A 2987-2023")</f>
        <v/>
      </c>
      <c r="W14">
        <f>HYPERLINK("https://klasma.github.io/Logging_0128/klagomålsmail/A 2987-2023 FSC-klagomål mail.docx", "A 2987-2023")</f>
        <v/>
      </c>
      <c r="X14">
        <f>HYPERLINK("https://klasma.github.io/Logging_0128/tillsyn/A 2987-2023 tillsynsbegäran.docx", "A 2987-2023")</f>
        <v/>
      </c>
      <c r="Y14">
        <f>HYPERLINK("https://klasma.github.io/Logging_0128/tillsynsmail/A 2987-2023 tillsynsbegäran mail.docx", "A 2987-2023")</f>
        <v/>
      </c>
    </row>
    <row r="15" ht="15" customHeight="1">
      <c r="A15" t="inlineStr">
        <is>
          <t>A 23823-2023</t>
        </is>
      </c>
      <c r="B15" s="1" t="n">
        <v>45078</v>
      </c>
      <c r="C15" s="1" t="n">
        <v>45692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HYPERLINK("https://klasma.github.io/Logging_0128/artfynd/A 23823-2023 artfynd.xlsx", "A 23823-2023")</f>
        <v/>
      </c>
      <c r="T15">
        <f>HYPERLINK("https://klasma.github.io/Logging_0128/kartor/A 23823-2023 karta.png", "A 23823-2023")</f>
        <v/>
      </c>
      <c r="V15">
        <f>HYPERLINK("https://klasma.github.io/Logging_0128/klagomål/A 23823-2023 FSC-klagomål.docx", "A 23823-2023")</f>
        <v/>
      </c>
      <c r="W15">
        <f>HYPERLINK("https://klasma.github.io/Logging_0128/klagomålsmail/A 23823-2023 FSC-klagomål mail.docx", "A 23823-2023")</f>
        <v/>
      </c>
      <c r="X15">
        <f>HYPERLINK("https://klasma.github.io/Logging_0128/tillsyn/A 23823-2023 tillsynsbegäran.docx", "A 23823-2023")</f>
        <v/>
      </c>
      <c r="Y15">
        <f>HYPERLINK("https://klasma.github.io/Logging_0128/tillsynsmail/A 23823-2023 tillsynsbegäran mail.docx", "A 23823-2023")</f>
        <v/>
      </c>
    </row>
    <row r="16" ht="15" customHeight="1">
      <c r="A16" t="inlineStr">
        <is>
          <t>A 47262-2024</t>
        </is>
      </c>
      <c r="B16" s="1" t="n">
        <v>45586</v>
      </c>
      <c r="C16" s="1" t="n">
        <v>45692</v>
      </c>
      <c r="D16" t="inlineStr">
        <is>
          <t>STOCKHOLMS LÄN</t>
        </is>
      </c>
      <c r="E16" t="inlineStr">
        <is>
          <t>SALEM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HYPERLINK("https://klasma.github.io/Logging_0128/artfynd/A 47262-2024 artfynd.xlsx", "A 47262-2024")</f>
        <v/>
      </c>
      <c r="T16">
        <f>HYPERLINK("https://klasma.github.io/Logging_0128/kartor/A 47262-2024 karta.png", "A 47262-2024")</f>
        <v/>
      </c>
      <c r="V16">
        <f>HYPERLINK("https://klasma.github.io/Logging_0128/klagomål/A 47262-2024 FSC-klagomål.docx", "A 47262-2024")</f>
        <v/>
      </c>
      <c r="W16">
        <f>HYPERLINK("https://klasma.github.io/Logging_0128/klagomålsmail/A 47262-2024 FSC-klagomål mail.docx", "A 47262-2024")</f>
        <v/>
      </c>
      <c r="X16">
        <f>HYPERLINK("https://klasma.github.io/Logging_0128/tillsyn/A 47262-2024 tillsynsbegäran.docx", "A 47262-2024")</f>
        <v/>
      </c>
      <c r="Y16">
        <f>HYPERLINK("https://klasma.github.io/Logging_0128/tillsynsmail/A 47262-2024 tillsynsbegäran mail.docx", "A 47262-2024")</f>
        <v/>
      </c>
      <c r="Z16">
        <f>HYPERLINK("https://klasma.github.io/Logging_0128/fåglar/A 47262-2024 prioriterade fågelarter.docx", "A 47262-2024")</f>
        <v/>
      </c>
    </row>
    <row r="17" ht="15" customHeight="1">
      <c r="A17" t="inlineStr">
        <is>
          <t>A 7812-2020</t>
        </is>
      </c>
      <c r="B17" s="1" t="n">
        <v>43873</v>
      </c>
      <c r="C17" s="1" t="n">
        <v>45692</v>
      </c>
      <c r="D17" t="inlineStr">
        <is>
          <t>STOCKHOLMS LÄN</t>
        </is>
      </c>
      <c r="E17" t="inlineStr">
        <is>
          <t>SALEM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7820-2020</t>
        </is>
      </c>
      <c r="B18" s="1" t="n">
        <v>43873</v>
      </c>
      <c r="C18" s="1" t="n">
        <v>45692</v>
      </c>
      <c r="D18" t="inlineStr">
        <is>
          <t>STOCKHOLMS LÄN</t>
        </is>
      </c>
      <c r="E18" t="inlineStr">
        <is>
          <t>SALEM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9109-2020</t>
        </is>
      </c>
      <c r="B19" s="1" t="n">
        <v>43879</v>
      </c>
      <c r="C19" s="1" t="n">
        <v>45692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9116-2020</t>
        </is>
      </c>
      <c r="B20" s="1" t="n">
        <v>43879</v>
      </c>
      <c r="C20" s="1" t="n">
        <v>45692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18821-2020</t>
        </is>
      </c>
      <c r="B21" s="1" t="n">
        <v>43935</v>
      </c>
      <c r="C21" s="1" t="n">
        <v>45692</v>
      </c>
      <c r="D21" t="inlineStr">
        <is>
          <t>STOCKHOLMS LÄN</t>
        </is>
      </c>
      <c r="E21" t="inlineStr">
        <is>
          <t>SALEM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41718-2020</t>
        </is>
      </c>
      <c r="B22" s="1" t="n">
        <v>44074</v>
      </c>
      <c r="C22" s="1" t="n">
        <v>45692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41923-2020</t>
        </is>
      </c>
      <c r="B23" s="1" t="n">
        <v>44075</v>
      </c>
      <c r="C23" s="1" t="n">
        <v>45692</v>
      </c>
      <c r="D23" t="inlineStr">
        <is>
          <t>STOCKHOLMS LÄN</t>
        </is>
      </c>
      <c r="E23" t="inlineStr">
        <is>
          <t>SALEM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65916-2020</t>
        </is>
      </c>
      <c r="B24" s="1" t="n">
        <v>44175</v>
      </c>
      <c r="C24" s="1" t="n">
        <v>45692</v>
      </c>
      <c r="D24" t="inlineStr">
        <is>
          <t>STOCKHOLMS LÄN</t>
        </is>
      </c>
      <c r="E24" t="inlineStr">
        <is>
          <t>SALEM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12874-2021</t>
        </is>
      </c>
      <c r="B25" s="1" t="n">
        <v>44271</v>
      </c>
      <c r="C25" s="1" t="n">
        <v>45692</v>
      </c>
      <c r="D25" t="inlineStr">
        <is>
          <t>STOCKHOLMS LÄN</t>
        </is>
      </c>
      <c r="E25" t="inlineStr">
        <is>
          <t>SALEM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13351-2021</t>
        </is>
      </c>
      <c r="B26" s="1" t="n">
        <v>44273</v>
      </c>
      <c r="C26" s="1" t="n">
        <v>45692</v>
      </c>
      <c r="D26" t="inlineStr">
        <is>
          <t>STOCKHOLMS LÄN</t>
        </is>
      </c>
      <c r="E26" t="inlineStr">
        <is>
          <t>SALEM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28838-2021</t>
        </is>
      </c>
      <c r="B27" s="1" t="n">
        <v>44357</v>
      </c>
      <c r="C27" s="1" t="n">
        <v>45692</v>
      </c>
      <c r="D27" t="inlineStr">
        <is>
          <t>STOCKHOLMS LÄN</t>
        </is>
      </c>
      <c r="E27" t="inlineStr">
        <is>
          <t>SALEM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28843-2021</t>
        </is>
      </c>
      <c r="B28" s="1" t="n">
        <v>44357</v>
      </c>
      <c r="C28" s="1" t="n">
        <v>45692</v>
      </c>
      <c r="D28" t="inlineStr">
        <is>
          <t>STOCKHOLMS LÄN</t>
        </is>
      </c>
      <c r="E28" t="inlineStr">
        <is>
          <t>SALEM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33246-2021</t>
        </is>
      </c>
      <c r="B29" s="1" t="n">
        <v>44377</v>
      </c>
      <c r="C29" s="1" t="n">
        <v>45692</v>
      </c>
      <c r="D29" t="inlineStr">
        <is>
          <t>STOCKHOLMS LÄN</t>
        </is>
      </c>
      <c r="E29" t="inlineStr">
        <is>
          <t>SALEM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33262-2021</t>
        </is>
      </c>
      <c r="B30" s="1" t="n">
        <v>44377</v>
      </c>
      <c r="C30" s="1" t="n">
        <v>45692</v>
      </c>
      <c r="D30" t="inlineStr">
        <is>
          <t>STOCKHOLMS LÄN</t>
        </is>
      </c>
      <c r="E30" t="inlineStr">
        <is>
          <t>SALEM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33729-2021</t>
        </is>
      </c>
      <c r="B31" s="1" t="n">
        <v>44378</v>
      </c>
      <c r="C31" s="1" t="n">
        <v>45692</v>
      </c>
      <c r="D31" t="inlineStr">
        <is>
          <t>STOCKHOLMS LÄN</t>
        </is>
      </c>
      <c r="E31" t="inlineStr">
        <is>
          <t>SALEM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43893-2021</t>
        </is>
      </c>
      <c r="B32" s="1" t="n">
        <v>44434</v>
      </c>
      <c r="C32" s="1" t="n">
        <v>45692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50692-2021</t>
        </is>
      </c>
      <c r="B33" s="1" t="n">
        <v>44460</v>
      </c>
      <c r="C33" s="1" t="n">
        <v>45692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68700-2021</t>
        </is>
      </c>
      <c r="B34" s="1" t="n">
        <v>44529</v>
      </c>
      <c r="C34" s="1" t="n">
        <v>45692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61336-2022</t>
        </is>
      </c>
      <c r="B35" s="1" t="n">
        <v>44915</v>
      </c>
      <c r="C35" s="1" t="n">
        <v>45692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61305-2022</t>
        </is>
      </c>
      <c r="B36" s="1" t="n">
        <v>44915</v>
      </c>
      <c r="C36" s="1" t="n">
        <v>45692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504-2023</t>
        </is>
      </c>
      <c r="B37" s="1" t="n">
        <v>44930</v>
      </c>
      <c r="C37" s="1" t="n">
        <v>45692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1071-2023</t>
        </is>
      </c>
      <c r="B38" s="1" t="n">
        <v>44935</v>
      </c>
      <c r="C38" s="1" t="n">
        <v>45692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2990-2023</t>
        </is>
      </c>
      <c r="B39" s="1" t="n">
        <v>44945</v>
      </c>
      <c r="C39" s="1" t="n">
        <v>45692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23981-2023</t>
        </is>
      </c>
      <c r="B40" s="1" t="n">
        <v>45078</v>
      </c>
      <c r="C40" s="1" t="n">
        <v>45692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23992-2023</t>
        </is>
      </c>
      <c r="B41" s="1" t="n">
        <v>45078</v>
      </c>
      <c r="C41" s="1" t="n">
        <v>45692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26149-2023</t>
        </is>
      </c>
      <c r="B42" s="1" t="n">
        <v>45091</v>
      </c>
      <c r="C42" s="1" t="n">
        <v>45692</v>
      </c>
      <c r="D42" t="inlineStr">
        <is>
          <t>STOCKHOLMS LÄN</t>
        </is>
      </c>
      <c r="E42" t="inlineStr">
        <is>
          <t>SALEM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36467-2023</t>
        </is>
      </c>
      <c r="B43" s="1" t="n">
        <v>45152</v>
      </c>
      <c r="C43" s="1" t="n">
        <v>45692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40711-2023</t>
        </is>
      </c>
      <c r="B44" s="1" t="n">
        <v>45169</v>
      </c>
      <c r="C44" s="1" t="n">
        <v>45692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40717-2023</t>
        </is>
      </c>
      <c r="B45" s="1" t="n">
        <v>45169</v>
      </c>
      <c r="C45" s="1" t="n">
        <v>45692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43036-2023</t>
        </is>
      </c>
      <c r="B46" s="1" t="n">
        <v>45182</v>
      </c>
      <c r="C46" s="1" t="n">
        <v>45692</v>
      </c>
      <c r="D46" t="inlineStr">
        <is>
          <t>STOCKHOLMS LÄN</t>
        </is>
      </c>
      <c r="E46" t="inlineStr">
        <is>
          <t>SALEM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46348-2023</t>
        </is>
      </c>
      <c r="B47" s="1" t="n">
        <v>45197</v>
      </c>
      <c r="C47" s="1" t="n">
        <v>45692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46919-2023</t>
        </is>
      </c>
      <c r="B48" s="1" t="n">
        <v>45201</v>
      </c>
      <c r="C48" s="1" t="n">
        <v>45692</v>
      </c>
      <c r="D48" t="inlineStr">
        <is>
          <t>STOCKHOLMS LÄN</t>
        </is>
      </c>
      <c r="E48" t="inlineStr">
        <is>
          <t>SALEM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51720-2023</t>
        </is>
      </c>
      <c r="B49" s="1" t="n">
        <v>45222</v>
      </c>
      <c r="C49" s="1" t="n">
        <v>45692</v>
      </c>
      <c r="D49" t="inlineStr">
        <is>
          <t>STOCKHOLMS LÄN</t>
        </is>
      </c>
      <c r="E49" t="inlineStr">
        <is>
          <t>SALEM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56966-2023</t>
        </is>
      </c>
      <c r="B50" s="1" t="n">
        <v>45244</v>
      </c>
      <c r="C50" s="1" t="n">
        <v>45692</v>
      </c>
      <c r="D50" t="inlineStr">
        <is>
          <t>STOCKHOLMS LÄN</t>
        </is>
      </c>
      <c r="E50" t="inlineStr">
        <is>
          <t>SALEM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58592-2023</t>
        </is>
      </c>
      <c r="B51" s="1" t="n">
        <v>45251</v>
      </c>
      <c r="C51" s="1" t="n">
        <v>45692</v>
      </c>
      <c r="D51" t="inlineStr">
        <is>
          <t>STOCKHOLMS LÄN</t>
        </is>
      </c>
      <c r="E51" t="inlineStr">
        <is>
          <t>SALEM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8300-2024</t>
        </is>
      </c>
      <c r="B52" s="1" t="n">
        <v>45352</v>
      </c>
      <c r="C52" s="1" t="n">
        <v>45692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9533-2024</t>
        </is>
      </c>
      <c r="B53" s="1" t="n">
        <v>45359</v>
      </c>
      <c r="C53" s="1" t="n">
        <v>45692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43742-2024</t>
        </is>
      </c>
      <c r="B54" s="1" t="n">
        <v>45569</v>
      </c>
      <c r="C54" s="1" t="n">
        <v>45692</v>
      </c>
      <c r="D54" t="inlineStr">
        <is>
          <t>STOCKHOLMS LÄN</t>
        </is>
      </c>
      <c r="E54" t="inlineStr">
        <is>
          <t>SALEM</t>
        </is>
      </c>
      <c r="F54" t="inlineStr">
        <is>
          <t>Kommuner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2025-02-04T15:58:21Z</dcterms:created>
  <dcterms:modified xmlns:dcterms="http://purl.org/dc/terms/" xmlns:xsi="http://www.w3.org/2001/XMLSchema-instance" xsi:type="dcterms:W3CDTF">2025-02-04T15:58:21Z</dcterms:modified>
</cp:coreProperties>
</file>