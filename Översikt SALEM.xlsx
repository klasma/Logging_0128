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45363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0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Vågticka
Fyrflikig jordstjärna
Gultoppig fingersvamp
Motaggsvamp
Tallticka
Vedskivlav
Björksplintborre
Brandticka
Bronshjon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45363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1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Granticka
Kandelabersvamp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</row>
    <row r="4" ht="15" customHeight="1">
      <c r="A4" t="inlineStr">
        <is>
          <t>A 25533-2023</t>
        </is>
      </c>
      <c r="B4" s="1" t="n">
        <v>45089</v>
      </c>
      <c r="C4" s="1" t="n">
        <v>45363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7.6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Vintertagging
Brandticka
Dropptaggsvamp
Granbarkgnagare
Jättesvampmal</t>
        </is>
      </c>
      <c r="S4">
        <f>HYPERLINK("https://klasma.github.io/Logging_0128/artfynd/A 25533-2023 artfynd.xlsx", "A 25533-2023")</f>
        <v/>
      </c>
      <c r="T4">
        <f>HYPERLINK("https://klasma.github.io/Logging_0128/kartor/A 25533-2023 karta.png", "A 25533-2023")</f>
        <v/>
      </c>
      <c r="V4">
        <f>HYPERLINK("https://klasma.github.io/Logging_0128/klagomål/A 25533-2023 FSC-klagomål.docx", "A 25533-2023")</f>
        <v/>
      </c>
      <c r="W4">
        <f>HYPERLINK("https://klasma.github.io/Logging_0128/klagomålsmail/A 25533-2023 FSC-klagomål mail.docx", "A 25533-2023")</f>
        <v/>
      </c>
      <c r="X4">
        <f>HYPERLINK("https://klasma.github.io/Logging_0128/tillsyn/A 25533-2023 tillsynsbegäran.docx", "A 25533-2023")</f>
        <v/>
      </c>
      <c r="Y4">
        <f>HYPERLINK("https://klasma.github.io/Logging_0128/tillsynsmail/A 25533-2023 tillsynsbegäran mail.docx", "A 25533-2023")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45363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61302-2022</t>
        </is>
      </c>
      <c r="B6" s="1" t="n">
        <v>44915</v>
      </c>
      <c r="C6" s="1" t="n">
        <v>45363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Trådticka
Zontaggsvamp</t>
        </is>
      </c>
      <c r="S6">
        <f>HYPERLINK("https://klasma.github.io/Logging_0128/artfynd/A 61302-2022 artfynd.xlsx", "A 61302-2022")</f>
        <v/>
      </c>
      <c r="T6">
        <f>HYPERLINK("https://klasma.github.io/Logging_0128/kartor/A 61302-2022 karta.png", "A 61302-2022")</f>
        <v/>
      </c>
      <c r="V6">
        <f>HYPERLINK("https://klasma.github.io/Logging_0128/klagomål/A 61302-2022 FSC-klagomål.docx", "A 61302-2022")</f>
        <v/>
      </c>
      <c r="W6">
        <f>HYPERLINK("https://klasma.github.io/Logging_0128/klagomålsmail/A 61302-2022 FSC-klagomål mail.docx", "A 61302-2022")</f>
        <v/>
      </c>
      <c r="X6">
        <f>HYPERLINK("https://klasma.github.io/Logging_0128/tillsyn/A 61302-2022 tillsynsbegäran.docx", "A 61302-2022")</f>
        <v/>
      </c>
      <c r="Y6">
        <f>HYPERLINK("https://klasma.github.io/Logging_0128/tillsynsmail/A 61302-2022 tillsynsbegäran mail.docx", "A 61302-2022")</f>
        <v/>
      </c>
    </row>
    <row r="7" ht="15" customHeight="1">
      <c r="A7" t="inlineStr">
        <is>
          <t>A 2992-2023</t>
        </is>
      </c>
      <c r="B7" s="1" t="n">
        <v>44945</v>
      </c>
      <c r="C7" s="1" t="n">
        <v>45363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Rynkskinn
Blåmossa</t>
        </is>
      </c>
      <c r="S7">
        <f>HYPERLINK("https://klasma.github.io/Logging_0128/artfynd/A 2992-2023 artfynd.xlsx", "A 2992-2023")</f>
        <v/>
      </c>
      <c r="T7">
        <f>HYPERLINK("https://klasma.github.io/Logging_0128/kartor/A 2992-2023 karta.png", "A 2992-2023")</f>
        <v/>
      </c>
      <c r="V7">
        <f>HYPERLINK("https://klasma.github.io/Logging_0128/klagomål/A 2992-2023 FSC-klagomål.docx", "A 2992-2023")</f>
        <v/>
      </c>
      <c r="W7">
        <f>HYPERLINK("https://klasma.github.io/Logging_0128/klagomålsmail/A 2992-2023 FSC-klagomål mail.docx", "A 2992-2023")</f>
        <v/>
      </c>
      <c r="X7">
        <f>HYPERLINK("https://klasma.github.io/Logging_0128/tillsyn/A 2992-2023 tillsynsbegäran.docx", "A 2992-2023")</f>
        <v/>
      </c>
      <c r="Y7">
        <f>HYPERLINK("https://klasma.github.io/Logging_0128/tillsynsmail/A 2992-2023 tillsynsbegäran mail.docx", "A 2992-2023")</f>
        <v/>
      </c>
    </row>
    <row r="8" ht="15" customHeight="1">
      <c r="A8" t="inlineStr">
        <is>
          <t>A 52009-2019</t>
        </is>
      </c>
      <c r="B8" s="1" t="n">
        <v>43742</v>
      </c>
      <c r="C8" s="1" t="n">
        <v>45363</v>
      </c>
      <c r="D8" t="inlineStr">
        <is>
          <t>STOCKHOLMS LÄN</t>
        </is>
      </c>
      <c r="E8" t="inlineStr">
        <is>
          <t>SALEM</t>
        </is>
      </c>
      <c r="G8" t="n">
        <v>16.9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HYPERLINK("https://klasma.github.io/Logging_0128/artfynd/A 52009-2019 artfynd.xlsx", "A 52009-2019")</f>
        <v/>
      </c>
      <c r="T8">
        <f>HYPERLINK("https://klasma.github.io/Logging_0128/kartor/A 52009-2019 karta.png", "A 52009-2019")</f>
        <v/>
      </c>
      <c r="V8">
        <f>HYPERLINK("https://klasma.github.io/Logging_0128/klagomål/A 52009-2019 FSC-klagomål.docx", "A 52009-2019")</f>
        <v/>
      </c>
      <c r="W8">
        <f>HYPERLINK("https://klasma.github.io/Logging_0128/klagomålsmail/A 52009-2019 FSC-klagomål mail.docx", "A 52009-2019")</f>
        <v/>
      </c>
      <c r="X8">
        <f>HYPERLINK("https://klasma.github.io/Logging_0128/tillsyn/A 52009-2019 tillsynsbegäran.docx", "A 52009-2019")</f>
        <v/>
      </c>
      <c r="Y8">
        <f>HYPERLINK("https://klasma.github.io/Logging_0128/tillsynsmail/A 52009-2019 tillsynsbegäran mail.docx", "A 52009-2019")</f>
        <v/>
      </c>
    </row>
    <row r="9" ht="15" customHeight="1">
      <c r="A9" t="inlineStr">
        <is>
          <t>A 16917-2020</t>
        </is>
      </c>
      <c r="B9" s="1" t="n">
        <v>43921</v>
      </c>
      <c r="C9" s="1" t="n">
        <v>45363</v>
      </c>
      <c r="D9" t="inlineStr">
        <is>
          <t>STOCKHOLMS LÄN</t>
        </is>
      </c>
      <c r="E9" t="inlineStr">
        <is>
          <t>SALEM</t>
        </is>
      </c>
      <c r="G9" t="n">
        <v>23.8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HYPERLINK("https://klasma.github.io/Logging_0128/artfynd/A 16917-2020 artfynd.xlsx", "A 16917-2020")</f>
        <v/>
      </c>
      <c r="T9">
        <f>HYPERLINK("https://klasma.github.io/Logging_0128/kartor/A 16917-2020 karta.png", "A 16917-2020")</f>
        <v/>
      </c>
      <c r="V9">
        <f>HYPERLINK("https://klasma.github.io/Logging_0128/klagomål/A 16917-2020 FSC-klagomål.docx", "A 16917-2020")</f>
        <v/>
      </c>
      <c r="W9">
        <f>HYPERLINK("https://klasma.github.io/Logging_0128/klagomålsmail/A 16917-2020 FSC-klagomål mail.docx", "A 16917-2020")</f>
        <v/>
      </c>
      <c r="X9">
        <f>HYPERLINK("https://klasma.github.io/Logging_0128/tillsyn/A 16917-2020 tillsynsbegäran.docx", "A 16917-2020")</f>
        <v/>
      </c>
      <c r="Y9">
        <f>HYPERLINK("https://klasma.github.io/Logging_0128/tillsynsmail/A 16917-2020 tillsynsbegäran mail.docx", "A 16917-2020")</f>
        <v/>
      </c>
      <c r="Z9">
        <f>HYPERLINK("https://klasma.github.io/Logging_0128/fåglar/A 16917-2020 prioriterade fågelarter.docx", "A 16917-2020")</f>
        <v/>
      </c>
    </row>
    <row r="10" ht="15" customHeight="1">
      <c r="A10" t="inlineStr">
        <is>
          <t>A 41774-2020</t>
        </is>
      </c>
      <c r="B10" s="1" t="n">
        <v>44074</v>
      </c>
      <c r="C10" s="1" t="n">
        <v>45363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41774-2020 artfynd.xlsx", "A 41774-2020")</f>
        <v/>
      </c>
      <c r="T10">
        <f>HYPERLINK("https://klasma.github.io/Logging_0128/kartor/A 41774-2020 karta.png", "A 41774-2020")</f>
        <v/>
      </c>
      <c r="V10">
        <f>HYPERLINK("https://klasma.github.io/Logging_0128/klagomål/A 41774-2020 FSC-klagomål.docx", "A 41774-2020")</f>
        <v/>
      </c>
      <c r="W10">
        <f>HYPERLINK("https://klasma.github.io/Logging_0128/klagomålsmail/A 41774-2020 FSC-klagomål mail.docx", "A 41774-2020")</f>
        <v/>
      </c>
      <c r="X10">
        <f>HYPERLINK("https://klasma.github.io/Logging_0128/tillsyn/A 41774-2020 tillsynsbegäran.docx", "A 41774-2020")</f>
        <v/>
      </c>
      <c r="Y10">
        <f>HYPERLINK("https://klasma.github.io/Logging_0128/tillsynsmail/A 41774-2020 tillsynsbegäran mail.docx", "A 41774-2020")</f>
        <v/>
      </c>
    </row>
    <row r="11" ht="15" customHeight="1">
      <c r="A11" t="inlineStr">
        <is>
          <t>A 2987-2023</t>
        </is>
      </c>
      <c r="B11" s="1" t="n">
        <v>44945</v>
      </c>
      <c r="C11" s="1" t="n">
        <v>45363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2987-2023 artfynd.xlsx", "A 2987-2023")</f>
        <v/>
      </c>
      <c r="T11">
        <f>HYPERLINK("https://klasma.github.io/Logging_0128/kartor/A 2987-2023 karta.png", "A 2987-2023")</f>
        <v/>
      </c>
      <c r="V11">
        <f>HYPERLINK("https://klasma.github.io/Logging_0128/klagomål/A 2987-2023 FSC-klagomål.docx", "A 2987-2023")</f>
        <v/>
      </c>
      <c r="W11">
        <f>HYPERLINK("https://klasma.github.io/Logging_0128/klagomålsmail/A 2987-2023 FSC-klagomål mail.docx", "A 2987-2023")</f>
        <v/>
      </c>
      <c r="X11">
        <f>HYPERLINK("https://klasma.github.io/Logging_0128/tillsyn/A 2987-2023 tillsynsbegäran.docx", "A 2987-2023")</f>
        <v/>
      </c>
      <c r="Y11">
        <f>HYPERLINK("https://klasma.github.io/Logging_0128/tillsynsmail/A 2987-2023 tillsynsbegäran mail.docx", "A 2987-2023")</f>
        <v/>
      </c>
    </row>
    <row r="12" ht="15" customHeight="1">
      <c r="A12" t="inlineStr">
        <is>
          <t>A 23823-2023</t>
        </is>
      </c>
      <c r="B12" s="1" t="n">
        <v>45078</v>
      </c>
      <c r="C12" s="1" t="n">
        <v>45363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HYPERLINK("https://klasma.github.io/Logging_0128/artfynd/A 23823-2023 artfynd.xlsx", "A 23823-2023")</f>
        <v/>
      </c>
      <c r="T12">
        <f>HYPERLINK("https://klasma.github.io/Logging_0128/kartor/A 23823-2023 karta.png", "A 23823-2023")</f>
        <v/>
      </c>
      <c r="V12">
        <f>HYPERLINK("https://klasma.github.io/Logging_0128/klagomål/A 23823-2023 FSC-klagomål.docx", "A 23823-2023")</f>
        <v/>
      </c>
      <c r="W12">
        <f>HYPERLINK("https://klasma.github.io/Logging_0128/klagomålsmail/A 23823-2023 FSC-klagomål mail.docx", "A 23823-2023")</f>
        <v/>
      </c>
      <c r="X12">
        <f>HYPERLINK("https://klasma.github.io/Logging_0128/tillsyn/A 23823-2023 tillsynsbegäran.docx", "A 23823-2023")</f>
        <v/>
      </c>
      <c r="Y12">
        <f>HYPERLINK("https://klasma.github.io/Logging_0128/tillsynsmail/A 23823-2023 tillsynsbegäran mail.docx", "A 23823-2023")</f>
        <v/>
      </c>
    </row>
    <row r="13" ht="15" customHeight="1">
      <c r="A13" t="inlineStr">
        <is>
          <t>A 59368-2018</t>
        </is>
      </c>
      <c r="B13" s="1" t="n">
        <v>43418</v>
      </c>
      <c r="C13" s="1" t="n">
        <v>45363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7812-2020</t>
        </is>
      </c>
      <c r="B14" s="1" t="n">
        <v>43873</v>
      </c>
      <c r="C14" s="1" t="n">
        <v>45363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45363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45363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45363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45363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45363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45363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45363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45363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45363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45363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45363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45363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45363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45363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45363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45363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45363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45363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45363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45363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45363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45363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45363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45363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45363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45363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45363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45363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45363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45363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45363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45363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45363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45363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45363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45363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45363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2024-03-12T14:00:56Z</dcterms:created>
  <dcterms:modified xmlns:dcterms="http://purl.org/dc/terms/" xmlns:xsi="http://www.w3.org/2001/XMLSchema-instance" xsi:type="dcterms:W3CDTF">2024-03-12T14:00:56Z</dcterms:modified>
</cp:coreProperties>
</file>