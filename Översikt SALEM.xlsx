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9538-2024</t>
        </is>
      </c>
      <c r="B2" t="inlineStr">
        <is>
          <t>avverkningsanmälan</t>
        </is>
      </c>
      <c r="C2" t="inlineStr">
        <is>
          <t>Föryngringsavverkning</t>
        </is>
      </c>
      <c r="D2" s="1" t="n">
        <v>45359</v>
      </c>
      <c r="E2" s="1" t="n">
        <v>46281</v>
      </c>
      <c r="F2" t="inlineStr">
        <is>
          <t>STOCKHOLMS LÄN</t>
        </is>
      </c>
      <c r="G2" t="inlineStr">
        <is>
          <t>SALEM</t>
        </is>
      </c>
      <c r="H2" t="inlineStr">
        <is>
          <t>Kommuner</t>
        </is>
      </c>
      <c r="I2" t="n">
        <v>14</v>
      </c>
      <c r="J2" t="n">
        <v>7</v>
      </c>
      <c r="K2" t="n">
        <v>14</v>
      </c>
      <c r="L2" t="n">
        <v>14</v>
      </c>
      <c r="M2" t="n">
        <v>3</v>
      </c>
      <c r="N2" t="n">
        <v>0</v>
      </c>
      <c r="O2" t="n">
        <v>0</v>
      </c>
      <c r="P2" t="n">
        <v>0</v>
      </c>
      <c r="Q2" t="n">
        <v>17</v>
      </c>
      <c r="R2" t="n">
        <v>3</v>
      </c>
      <c r="S2" t="n">
        <v>36</v>
      </c>
      <c r="T2" t="n">
        <v>98</v>
      </c>
      <c r="U2" t="n">
        <v>89</v>
      </c>
      <c r="V2"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2">
        <f>HYPERLINK("https://klasma.github.io/Logging_0128/artfynd/A 9538-2024 artfynd.xlsx", "A 9538-2024")</f>
        <v/>
      </c>
      <c r="X2">
        <f>HYPERLINK("https://klasma.github.io/Logging_0128/kartor/A 9538-2024 karta.png", "A 9538-2024")</f>
        <v/>
      </c>
      <c r="Y2">
        <f>HYPERLINK("https://klasma.github.io/Logging_0128/kartor_geotiff/A 9538-2024 georefererad karta.tif", "A 9538-2024")</f>
        <v/>
      </c>
      <c r="AA2">
        <f>HYPERLINK("https://klasma.github.io/Logging_0128/klagomål/A 9538-2024 FSC-klagomål.docx", "A 9538-2024")</f>
        <v/>
      </c>
      <c r="AB2">
        <f>HYPERLINK("https://klasma.github.io/Logging_0128/klagomålsmail/A 9538-2024 FSC-klagomål mail.docx", "A 9538-2024")</f>
        <v/>
      </c>
      <c r="AC2">
        <f>HYPERLINK("https://klasma.github.io/Logging_0128/tillsyn/A 9538-2024 tillsynsbegäran.docx", "A 9538-2024")</f>
        <v/>
      </c>
      <c r="AD2">
        <f>HYPERLINK("https://klasma.github.io/Logging_0128/tillsynsmail/A 9538-2024 tillsynsbegäran mail.docx", "A 9538-2024")</f>
        <v/>
      </c>
      <c r="AE2">
        <f>HYPERLINK("https://klasma.github.io/Logging_0128/fåglar/A 9538-2024 prioriterade fågelarter.docx", "A 9538-2024")</f>
        <v/>
      </c>
    </row>
    <row r="3" ht="15" customHeight="1">
      <c r="A3" t="inlineStr">
        <is>
          <t>A 36244-2024</t>
        </is>
      </c>
      <c r="B3" t="inlineStr">
        <is>
          <t>avverkningsanmälan</t>
        </is>
      </c>
      <c r="C3" t="inlineStr">
        <is>
          <t>Avverkning för annat ändamål</t>
        </is>
      </c>
      <c r="D3" s="1" t="n">
        <v>45534</v>
      </c>
      <c r="E3" s="1" t="n">
        <v>46281</v>
      </c>
      <c r="F3" t="inlineStr">
        <is>
          <t>STOCKHOLMS LÄN</t>
        </is>
      </c>
      <c r="G3" t="inlineStr">
        <is>
          <t>SALEM</t>
        </is>
      </c>
      <c r="H3" t="inlineStr">
        <is>
          <t>Kommuner</t>
        </is>
      </c>
      <c r="I3" t="n">
        <v>0.1</v>
      </c>
      <c r="J3" t="n">
        <v>0</v>
      </c>
      <c r="K3" t="n">
        <v>5</v>
      </c>
      <c r="L3" t="n">
        <v>3</v>
      </c>
      <c r="M3" t="n">
        <v>0</v>
      </c>
      <c r="N3" t="n">
        <v>0</v>
      </c>
      <c r="O3" t="n">
        <v>0</v>
      </c>
      <c r="P3" t="n">
        <v>0</v>
      </c>
      <c r="Q3" t="n">
        <v>3</v>
      </c>
      <c r="R3" t="n">
        <v>0</v>
      </c>
      <c r="S3" t="n">
        <v>8</v>
      </c>
      <c r="T3" t="n">
        <v>16</v>
      </c>
      <c r="U3" t="n">
        <v>0</v>
      </c>
      <c r="V3" s="2" t="inlineStr">
        <is>
          <t>Kandelabersvamp
Tallticka
Ullticka
Brandticka
Fällmossa
Grov fjädermossa
Platt fjädermossa
Västlig hakmossa</t>
        </is>
      </c>
      <c r="W3">
        <f>HYPERLINK("https://klasma.github.io/Logging_0128/artfynd/A 36244-2024 artfynd.xlsx", "A 36244-2024")</f>
        <v/>
      </c>
      <c r="X3">
        <f>HYPERLINK("https://klasma.github.io/Logging_0128/kartor/A 36244-2024 karta.png", "A 36244-2024")</f>
        <v/>
      </c>
      <c r="Y3">
        <f>HYPERLINK("https://klasma.github.io/Logging_0128/kartor_geotiff/A 36244-2024 georefererad karta.tif", "A 36244-2024")</f>
        <v/>
      </c>
      <c r="AA3">
        <f>HYPERLINK("https://klasma.github.io/Logging_0128/klagomål/A 36244-2024 FSC-klagomål.docx", "A 36244-2024")</f>
        <v/>
      </c>
      <c r="AB3">
        <f>HYPERLINK("https://klasma.github.io/Logging_0128/klagomålsmail/A 36244-2024 FSC-klagomål mail.docx", "A 36244-2024")</f>
        <v/>
      </c>
      <c r="AC3">
        <f>HYPERLINK("https://klasma.github.io/Logging_0128/tillsyn/A 36244-2024 tillsynsbegäran.docx", "A 36244-2024")</f>
        <v/>
      </c>
      <c r="AD3">
        <f>HYPERLINK("https://klasma.github.io/Logging_0128/tillsynsmail/A 36244-2024 tillsynsbegäran mail.docx", "A 36244-2024")</f>
        <v/>
      </c>
    </row>
    <row r="4" ht="15" customHeight="1">
      <c r="A4" t="inlineStr">
        <is>
          <t>A 8300-2024</t>
        </is>
      </c>
      <c r="B4" t="inlineStr">
        <is>
          <t>avverkningsanmälan</t>
        </is>
      </c>
      <c r="C4" t="inlineStr">
        <is>
          <t>Avverkning för annat ändamål</t>
        </is>
      </c>
      <c r="D4" s="1" t="n">
        <v>45352</v>
      </c>
      <c r="E4" s="1" t="n">
        <v>46281</v>
      </c>
      <c r="F4" t="inlineStr">
        <is>
          <t>STOCKHOLMS LÄN</t>
        </is>
      </c>
      <c r="G4" t="inlineStr">
        <is>
          <t>SALEM</t>
        </is>
      </c>
      <c r="H4" t="inlineStr">
        <is>
          <t>Kommuner</t>
        </is>
      </c>
      <c r="I4" t="n">
        <v>3.4</v>
      </c>
      <c r="J4" t="n">
        <v>2</v>
      </c>
      <c r="K4" t="n">
        <v>1</v>
      </c>
      <c r="L4" t="n">
        <v>1</v>
      </c>
      <c r="M4" t="n">
        <v>1</v>
      </c>
      <c r="N4" t="n">
        <v>0</v>
      </c>
      <c r="O4" t="n">
        <v>0</v>
      </c>
      <c r="P4" t="n">
        <v>0</v>
      </c>
      <c r="Q4" t="n">
        <v>2</v>
      </c>
      <c r="R4" t="n">
        <v>1</v>
      </c>
      <c r="S4" t="n">
        <v>5</v>
      </c>
      <c r="T4" t="n">
        <v>5</v>
      </c>
      <c r="U4" t="n">
        <v>5</v>
      </c>
      <c r="V4" s="2" t="inlineStr">
        <is>
          <t>Gul taggsvamp
Dropptaggsvamp
Grovticka
Spillkråka
Kungsfågel</t>
        </is>
      </c>
      <c r="W4">
        <f>HYPERLINK("https://klasma.github.io/Logging_0128/artfynd/A 8300-2024 artfynd.xlsx", "A 8300-2024")</f>
        <v/>
      </c>
      <c r="X4">
        <f>HYPERLINK("https://klasma.github.io/Logging_0128/kartor/A 8300-2024 karta.png", "A 8300-2024")</f>
        <v/>
      </c>
      <c r="Y4">
        <f>HYPERLINK("https://klasma.github.io/Logging_0128/kartor_geotiff/A 8300-2024 georefererad karta.tif", "A 8300-2024")</f>
        <v/>
      </c>
      <c r="AA4">
        <f>HYPERLINK("https://klasma.github.io/Logging_0128/klagomål/A 8300-2024 FSC-klagomål.docx", "A 8300-2024")</f>
        <v/>
      </c>
      <c r="AB4">
        <f>HYPERLINK("https://klasma.github.io/Logging_0128/klagomålsmail/A 8300-2024 FSC-klagomål mail.docx", "A 8300-2024")</f>
        <v/>
      </c>
      <c r="AC4">
        <f>HYPERLINK("https://klasma.github.io/Logging_0128/tillsyn/A 8300-2024 tillsynsbegäran.docx", "A 8300-2024")</f>
        <v/>
      </c>
      <c r="AD4">
        <f>HYPERLINK("https://klasma.github.io/Logging_0128/tillsynsmail/A 8300-2024 tillsynsbegäran mail.docx", "A 8300-2024")</f>
        <v/>
      </c>
      <c r="AE4">
        <f>HYPERLINK("https://klasma.github.io/Logging_0128/fåglar/A 8300-2024 prioriterade fågelarter.docx", "A 8300-2024")</f>
        <v/>
      </c>
    </row>
    <row r="5" ht="15" customHeight="1">
      <c r="A5" t="inlineStr">
        <is>
          <t>A 61302-2022</t>
        </is>
      </c>
      <c r="B5" t="inlineStr">
        <is>
          <t>avverkningsanmälan</t>
        </is>
      </c>
      <c r="C5" t="inlineStr">
        <is>
          <t>Föryngringsavverkning</t>
        </is>
      </c>
      <c r="D5" s="1" t="n">
        <v>44915</v>
      </c>
      <c r="E5" s="1" t="n">
        <v>46281</v>
      </c>
      <c r="F5" t="inlineStr">
        <is>
          <t>STOCKHOLMS LÄN</t>
        </is>
      </c>
      <c r="G5" t="inlineStr">
        <is>
          <t>SALEM</t>
        </is>
      </c>
      <c r="H5" t="inlineStr">
        <is>
          <t>Kommuner</t>
        </is>
      </c>
      <c r="I5" t="n">
        <v>14.8</v>
      </c>
      <c r="J5" t="n">
        <v>0</v>
      </c>
      <c r="K5" t="n">
        <v>2</v>
      </c>
      <c r="L5" t="n">
        <v>2</v>
      </c>
      <c r="M5" t="n">
        <v>0</v>
      </c>
      <c r="N5" t="n">
        <v>0</v>
      </c>
      <c r="O5" t="n">
        <v>0</v>
      </c>
      <c r="P5" t="n">
        <v>0</v>
      </c>
      <c r="Q5" t="n">
        <v>2</v>
      </c>
      <c r="R5" t="n">
        <v>0</v>
      </c>
      <c r="S5" t="n">
        <v>4</v>
      </c>
      <c r="T5" t="n">
        <v>4</v>
      </c>
      <c r="U5" t="n">
        <v>4</v>
      </c>
      <c r="V5" s="2" t="inlineStr">
        <is>
          <t>Tallticka
Ullticka
Trådticka
Zontaggsvamp</t>
        </is>
      </c>
      <c r="W5">
        <f>HYPERLINK("https://klasma.github.io/Logging_0128/artfynd/A 61302-2022 artfynd.xlsx", "A 61302-2022")</f>
        <v/>
      </c>
      <c r="X5">
        <f>HYPERLINK("https://klasma.github.io/Logging_0128/kartor/A 61302-2022 karta.png", "A 61302-2022")</f>
        <v/>
      </c>
      <c r="Y5">
        <f>HYPERLINK("https://klasma.github.io/Logging_0128/kartor_geotiff/A 61302-2022 georefererad karta.tif", "A 61302-2022")</f>
        <v/>
      </c>
      <c r="AA5">
        <f>HYPERLINK("https://klasma.github.io/Logging_0128/klagomål/A 61302-2022 FSC-klagomål.docx", "A 61302-2022")</f>
        <v/>
      </c>
      <c r="AB5">
        <f>HYPERLINK("https://klasma.github.io/Logging_0128/klagomålsmail/A 61302-2022 FSC-klagomål mail.docx", "A 61302-2022")</f>
        <v/>
      </c>
      <c r="AC5">
        <f>HYPERLINK("https://klasma.github.io/Logging_0128/tillsyn/A 61302-2022 tillsynsbegäran.docx", "A 61302-2022")</f>
        <v/>
      </c>
      <c r="AD5">
        <f>HYPERLINK("https://klasma.github.io/Logging_0128/tillsynsmail/A 61302-2022 tillsynsbegäran mail.docx", "A 61302-2022")</f>
        <v/>
      </c>
    </row>
    <row r="6" ht="15" customHeight="1">
      <c r="A6" t="inlineStr">
        <is>
          <t>A 68700-2021</t>
        </is>
      </c>
      <c r="B6" t="inlineStr">
        <is>
          <t>avverkningsanmälan</t>
        </is>
      </c>
      <c r="C6" t="inlineStr">
        <is>
          <t>Föryngringsavverkning</t>
        </is>
      </c>
      <c r="D6" s="1" t="n">
        <v>44529</v>
      </c>
      <c r="E6" s="1" t="n">
        <v>46281</v>
      </c>
      <c r="F6" t="inlineStr">
        <is>
          <t>STOCKHOLMS LÄN</t>
        </is>
      </c>
      <c r="G6" t="inlineStr">
        <is>
          <t>SALEM</t>
        </is>
      </c>
      <c r="H6" t="inlineStr">
        <is>
          <t>Kommuner</t>
        </is>
      </c>
      <c r="I6" t="n">
        <v>5.3</v>
      </c>
      <c r="J6" t="n">
        <v>2</v>
      </c>
      <c r="K6" t="n">
        <v>1</v>
      </c>
      <c r="L6" t="n">
        <v>0</v>
      </c>
      <c r="M6" t="n">
        <v>0</v>
      </c>
      <c r="N6" t="n">
        <v>0</v>
      </c>
      <c r="O6" t="n">
        <v>0</v>
      </c>
      <c r="P6" t="n">
        <v>0</v>
      </c>
      <c r="Q6" t="n">
        <v>0</v>
      </c>
      <c r="R6" t="n">
        <v>0</v>
      </c>
      <c r="S6" t="n">
        <v>3</v>
      </c>
      <c r="T6" t="n">
        <v>3</v>
      </c>
      <c r="U6" t="n">
        <v>2</v>
      </c>
      <c r="V6" s="2" t="inlineStr">
        <is>
          <t>Blåmossa
Spillkråka
Kungsfågel</t>
        </is>
      </c>
      <c r="W6">
        <f>HYPERLINK("https://klasma.github.io/Logging_0128/artfynd/A 68700-2021 artfynd.xlsx", "A 68700-2021")</f>
        <v/>
      </c>
      <c r="X6">
        <f>HYPERLINK("https://klasma.github.io/Logging_0128/kartor/A 68700-2021 karta.png", "A 68700-2021")</f>
        <v/>
      </c>
      <c r="Y6">
        <f>HYPERLINK("https://klasma.github.io/Logging_0128/kartor_geotiff/A 68700-2021 georefererad karta.tif", "A 68700-2021")</f>
        <v/>
      </c>
      <c r="AA6">
        <f>HYPERLINK("https://klasma.github.io/Logging_0128/klagomål/A 68700-2021 FSC-klagomål.docx", "A 68700-2021")</f>
        <v/>
      </c>
      <c r="AB6">
        <f>HYPERLINK("https://klasma.github.io/Logging_0128/klagomålsmail/A 68700-2021 FSC-klagomål mail.docx", "A 68700-2021")</f>
        <v/>
      </c>
      <c r="AC6">
        <f>HYPERLINK("https://klasma.github.io/Logging_0128/tillsyn/A 68700-2021 tillsynsbegäran.docx", "A 68700-2021")</f>
        <v/>
      </c>
      <c r="AD6">
        <f>HYPERLINK("https://klasma.github.io/Logging_0128/tillsynsmail/A 68700-2021 tillsynsbegäran mail.docx", "A 68700-2021")</f>
        <v/>
      </c>
      <c r="AE6">
        <f>HYPERLINK("https://klasma.github.io/Logging_0128/fåglar/A 68700-2021 prioriterade fågelarter.docx", "A 68700-2021")</f>
        <v/>
      </c>
    </row>
    <row r="7" ht="15" customHeight="1">
      <c r="A7" t="inlineStr">
        <is>
          <t>A 2990-2023</t>
        </is>
      </c>
      <c r="B7" t="inlineStr">
        <is>
          <t>avverkningsanmälan</t>
        </is>
      </c>
      <c r="C7" t="inlineStr">
        <is>
          <t>Föryngringsavverkning</t>
        </is>
      </c>
      <c r="D7" s="1" t="n">
        <v>44945</v>
      </c>
      <c r="E7" s="1" t="n">
        <v>46281</v>
      </c>
      <c r="F7" t="inlineStr">
        <is>
          <t>STOCKHOLMS LÄN</t>
        </is>
      </c>
      <c r="G7" t="inlineStr">
        <is>
          <t>SALEM</t>
        </is>
      </c>
      <c r="H7" t="inlineStr">
        <is>
          <t>Kommuner</t>
        </is>
      </c>
      <c r="I7" t="n">
        <v>4.1</v>
      </c>
      <c r="J7" t="n">
        <v>2</v>
      </c>
      <c r="K7" t="n">
        <v>1</v>
      </c>
      <c r="L7" t="n">
        <v>0</v>
      </c>
      <c r="M7" t="n">
        <v>0</v>
      </c>
      <c r="N7" t="n">
        <v>0</v>
      </c>
      <c r="O7" t="n">
        <v>0</v>
      </c>
      <c r="P7" t="n">
        <v>0</v>
      </c>
      <c r="Q7" t="n">
        <v>0</v>
      </c>
      <c r="R7" t="n">
        <v>0</v>
      </c>
      <c r="S7" t="n">
        <v>3</v>
      </c>
      <c r="T7" t="n">
        <v>4</v>
      </c>
      <c r="U7" t="n">
        <v>0</v>
      </c>
      <c r="V7" s="2" t="inlineStr">
        <is>
          <t>Granbarkgnagare
Större vattensalamander
Mindre vattensalamander</t>
        </is>
      </c>
      <c r="W7">
        <f>HYPERLINK("https://klasma.github.io/Logging_0128/artfynd/A 2990-2023 artfynd.xlsx", "A 2990-2023")</f>
        <v/>
      </c>
      <c r="X7">
        <f>HYPERLINK("https://klasma.github.io/Logging_0128/kartor/A 2990-2023 karta.png", "A 2990-2023")</f>
        <v/>
      </c>
      <c r="Y7">
        <f>HYPERLINK("https://klasma.github.io/Logging_0128/kartor_geotiff/A 2990-2023 georefererad karta.tif", "A 2990-2023")</f>
        <v/>
      </c>
      <c r="AA7">
        <f>HYPERLINK("https://klasma.github.io/Logging_0128/klagomål/A 2990-2023 FSC-klagomål.docx", "A 2990-2023")</f>
        <v/>
      </c>
      <c r="AB7">
        <f>HYPERLINK("https://klasma.github.io/Logging_0128/klagomålsmail/A 2990-2023 FSC-klagomål mail.docx", "A 2990-2023")</f>
        <v/>
      </c>
      <c r="AC7">
        <f>HYPERLINK("https://klasma.github.io/Logging_0128/tillsyn/A 2990-2023 tillsynsbegäran.docx", "A 2990-2023")</f>
        <v/>
      </c>
      <c r="AD7">
        <f>HYPERLINK("https://klasma.github.io/Logging_0128/tillsynsmail/A 2990-2023 tillsynsbegäran mail.docx", "A 2990-2023")</f>
        <v/>
      </c>
    </row>
    <row r="8" ht="15" customHeight="1">
      <c r="A8" t="inlineStr">
        <is>
          <t>A 2992-2023</t>
        </is>
      </c>
      <c r="B8" t="inlineStr">
        <is>
          <t>avverkningsanmälan</t>
        </is>
      </c>
      <c r="C8" t="inlineStr">
        <is>
          <t>Föryngringsavverkning</t>
        </is>
      </c>
      <c r="D8" s="1" t="n">
        <v>44945</v>
      </c>
      <c r="E8" s="1" t="n">
        <v>46281</v>
      </c>
      <c r="F8" t="inlineStr">
        <is>
          <t>STOCKHOLMS LÄN</t>
        </is>
      </c>
      <c r="G8" t="inlineStr">
        <is>
          <t>SALEM</t>
        </is>
      </c>
      <c r="H8" t="inlineStr">
        <is>
          <t>Kommuner</t>
        </is>
      </c>
      <c r="I8" t="n">
        <v>1.7</v>
      </c>
      <c r="J8" t="n">
        <v>0</v>
      </c>
      <c r="K8" t="n">
        <v>1</v>
      </c>
      <c r="L8" t="n">
        <v>2</v>
      </c>
      <c r="M8" t="n">
        <v>0</v>
      </c>
      <c r="N8" t="n">
        <v>0</v>
      </c>
      <c r="O8" t="n">
        <v>0</v>
      </c>
      <c r="P8" t="n">
        <v>0</v>
      </c>
      <c r="Q8" t="n">
        <v>2</v>
      </c>
      <c r="R8" t="n">
        <v>0</v>
      </c>
      <c r="S8" t="n">
        <v>3</v>
      </c>
      <c r="T8" t="n">
        <v>3</v>
      </c>
      <c r="U8" t="n">
        <v>2</v>
      </c>
      <c r="V8" s="2" t="inlineStr">
        <is>
          <t>Kandelabersvamp
Rynkskinn
Blåmossa</t>
        </is>
      </c>
      <c r="W8">
        <f>HYPERLINK("https://klasma.github.io/Logging_0128/artfynd/A 2992-2023 artfynd.xlsx", "A 2992-2023")</f>
        <v/>
      </c>
      <c r="X8">
        <f>HYPERLINK("https://klasma.github.io/Logging_0128/kartor/A 2992-2023 karta.png", "A 2992-2023")</f>
        <v/>
      </c>
      <c r="Y8">
        <f>HYPERLINK("https://klasma.github.io/Logging_0128/kartor_geotiff/A 2992-2023 georefererad karta.tif", "A 2992-2023")</f>
        <v/>
      </c>
      <c r="AA8">
        <f>HYPERLINK("https://klasma.github.io/Logging_0128/klagomål/A 2992-2023 FSC-klagomål.docx", "A 2992-2023")</f>
        <v/>
      </c>
      <c r="AB8">
        <f>HYPERLINK("https://klasma.github.io/Logging_0128/klagomålsmail/A 2992-2023 FSC-klagomål mail.docx", "A 2992-2023")</f>
        <v/>
      </c>
      <c r="AC8">
        <f>HYPERLINK("https://klasma.github.io/Logging_0128/tillsyn/A 2992-2023 tillsynsbegäran.docx", "A 2992-2023")</f>
        <v/>
      </c>
      <c r="AD8">
        <f>HYPERLINK("https://klasma.github.io/Logging_0128/tillsynsmail/A 2992-2023 tillsynsbegäran mail.docx", "A 2992-2023")</f>
        <v/>
      </c>
    </row>
    <row r="9" ht="15" customHeight="1">
      <c r="A9" t="inlineStr">
        <is>
          <t>A 32951-2025</t>
        </is>
      </c>
      <c r="B9" t="inlineStr">
        <is>
          <t>avverkningsanmälan</t>
        </is>
      </c>
      <c r="C9" t="inlineStr">
        <is>
          <t>Avverkning för att bevara och utveckla /försöksver</t>
        </is>
      </c>
      <c r="D9" s="1" t="n">
        <v>45839</v>
      </c>
      <c r="E9" s="1" t="n">
        <v>46281</v>
      </c>
      <c r="F9" t="inlineStr">
        <is>
          <t>STOCKHOLMS LÄN</t>
        </is>
      </c>
      <c r="G9" t="inlineStr">
        <is>
          <t>SALEM</t>
        </is>
      </c>
      <c r="I9" t="n">
        <v>2.6</v>
      </c>
      <c r="J9" t="n">
        <v>1</v>
      </c>
      <c r="K9" t="n">
        <v>0</v>
      </c>
      <c r="L9" t="n">
        <v>1</v>
      </c>
      <c r="M9" t="n">
        <v>0</v>
      </c>
      <c r="N9" t="n">
        <v>0</v>
      </c>
      <c r="O9" t="n">
        <v>0</v>
      </c>
      <c r="P9" t="n">
        <v>0</v>
      </c>
      <c r="Q9" t="n">
        <v>1</v>
      </c>
      <c r="R9" t="n">
        <v>0</v>
      </c>
      <c r="S9" t="n">
        <v>2</v>
      </c>
      <c r="T9" t="n">
        <v>2</v>
      </c>
      <c r="U9" t="n">
        <v>0</v>
      </c>
      <c r="V9" s="2" t="inlineStr">
        <is>
          <t>Etternässla
Kopparödla</t>
        </is>
      </c>
      <c r="W9">
        <f>HYPERLINK("https://klasma.github.io/Logging_0128/artfynd/A 32951-2025 artfynd.xlsx", "A 32951-2025")</f>
        <v/>
      </c>
      <c r="X9">
        <f>HYPERLINK("https://klasma.github.io/Logging_0128/kartor/A 32951-2025 karta.png", "A 32951-2025")</f>
        <v/>
      </c>
      <c r="Y9">
        <f>HYPERLINK("https://klasma.github.io/Logging_0128/kartor_geotiff/A 32951-2025 georefererad karta.tif", "A 32951-2025")</f>
        <v/>
      </c>
      <c r="AA9">
        <f>HYPERLINK("https://klasma.github.io/Logging_0128/klagomål/A 32951-2025 FSC-klagomål.docx", "A 32951-2025")</f>
        <v/>
      </c>
      <c r="AB9">
        <f>HYPERLINK("https://klasma.github.io/Logging_0128/klagomålsmail/A 32951-2025 FSC-klagomål mail.docx", "A 32951-2025")</f>
        <v/>
      </c>
      <c r="AC9">
        <f>HYPERLINK("https://klasma.github.io/Logging_0128/tillsyn/A 32951-2025 tillsynsbegäran.docx", "A 32951-2025")</f>
        <v/>
      </c>
      <c r="AD9">
        <f>HYPERLINK("https://klasma.github.io/Logging_0128/tillsynsmail/A 32951-2025 tillsynsbegäran mail.docx", "A 32951-2025")</f>
        <v/>
      </c>
    </row>
    <row r="10" ht="15" customHeight="1">
      <c r="A10" t="inlineStr">
        <is>
          <t>A 2987-2023</t>
        </is>
      </c>
      <c r="B10" t="inlineStr">
        <is>
          <t>avverkningsanmälan</t>
        </is>
      </c>
      <c r="C10" t="inlineStr">
        <is>
          <t>Föryngringsavverkning</t>
        </is>
      </c>
      <c r="D10" s="1" t="n">
        <v>44945</v>
      </c>
      <c r="E10" s="1" t="n">
        <v>46281</v>
      </c>
      <c r="F10" t="inlineStr">
        <is>
          <t>STOCKHOLMS LÄN</t>
        </is>
      </c>
      <c r="G10" t="inlineStr">
        <is>
          <t>SALEM</t>
        </is>
      </c>
      <c r="H10" t="inlineStr">
        <is>
          <t>Kommuner</t>
        </is>
      </c>
      <c r="I10" t="n">
        <v>6.2</v>
      </c>
      <c r="J10" t="n">
        <v>0</v>
      </c>
      <c r="K10" t="n">
        <v>0</v>
      </c>
      <c r="L10" t="n">
        <v>1</v>
      </c>
      <c r="M10" t="n">
        <v>0</v>
      </c>
      <c r="N10" t="n">
        <v>0</v>
      </c>
      <c r="O10" t="n">
        <v>0</v>
      </c>
      <c r="P10" t="n">
        <v>0</v>
      </c>
      <c r="Q10" t="n">
        <v>1</v>
      </c>
      <c r="R10" t="n">
        <v>0</v>
      </c>
      <c r="S10" t="n">
        <v>1</v>
      </c>
      <c r="T10" t="n">
        <v>2</v>
      </c>
      <c r="U10" t="n">
        <v>2</v>
      </c>
      <c r="V10" s="2" t="inlineStr">
        <is>
          <t>Tallticka</t>
        </is>
      </c>
      <c r="W10">
        <f>HYPERLINK("https://klasma.github.io/Logging_0128/artfynd/A 2987-2023 artfynd.xlsx", "A 2987-2023")</f>
        <v/>
      </c>
      <c r="X10">
        <f>HYPERLINK("https://klasma.github.io/Logging_0128/kartor/A 2987-2023 karta.png", "A 2987-2023")</f>
        <v/>
      </c>
      <c r="Y10">
        <f>HYPERLINK("https://klasma.github.io/Logging_0128/kartor_geotiff/A 2987-2023 georefererad karta.tif", "A 2987-2023")</f>
        <v/>
      </c>
      <c r="AA10">
        <f>HYPERLINK("https://klasma.github.io/Logging_0128/klagomål/A 2987-2023 FSC-klagomål.docx", "A 2987-2023")</f>
        <v/>
      </c>
      <c r="AB10">
        <f>HYPERLINK("https://klasma.github.io/Logging_0128/klagomålsmail/A 2987-2023 FSC-klagomål mail.docx", "A 2987-2023")</f>
        <v/>
      </c>
      <c r="AC10">
        <f>HYPERLINK("https://klasma.github.io/Logging_0128/tillsyn/A 2987-2023 tillsynsbegäran.docx", "A 2987-2023")</f>
        <v/>
      </c>
      <c r="AD10">
        <f>HYPERLINK("https://klasma.github.io/Logging_0128/tillsynsmail/A 2987-2023 tillsynsbegäran mail.docx", "A 2987-2023")</f>
        <v/>
      </c>
    </row>
    <row r="11" ht="15" customHeight="1">
      <c r="A11" t="inlineStr">
        <is>
          <t>A 33473-2025</t>
        </is>
      </c>
      <c r="B11" t="inlineStr">
        <is>
          <t>avverkningsanmälan</t>
        </is>
      </c>
      <c r="C11" t="inlineStr">
        <is>
          <t>Avverkning för att bevara och utveckla /försöksver</t>
        </is>
      </c>
      <c r="D11" s="1" t="n">
        <v>45839</v>
      </c>
      <c r="E11" s="1" t="n">
        <v>46281</v>
      </c>
      <c r="F11" t="inlineStr">
        <is>
          <t>STOCKHOLMS LÄN</t>
        </is>
      </c>
      <c r="G11" t="inlineStr">
        <is>
          <t>SALEM</t>
        </is>
      </c>
      <c r="I11" t="n">
        <v>5.7</v>
      </c>
      <c r="J11" t="n">
        <v>0</v>
      </c>
      <c r="K11" t="n">
        <v>0</v>
      </c>
      <c r="L11" t="n">
        <v>0</v>
      </c>
      <c r="M11" t="n">
        <v>1</v>
      </c>
      <c r="N11" t="n">
        <v>0</v>
      </c>
      <c r="O11" t="n">
        <v>0</v>
      </c>
      <c r="P11" t="n">
        <v>0</v>
      </c>
      <c r="Q11" t="n">
        <v>1</v>
      </c>
      <c r="R11" t="n">
        <v>1</v>
      </c>
      <c r="S11" t="n">
        <v>1</v>
      </c>
      <c r="T11" t="n">
        <v>1</v>
      </c>
      <c r="U11" t="n">
        <v>1</v>
      </c>
      <c r="V11" s="2" t="inlineStr">
        <is>
          <t>Igelkott</t>
        </is>
      </c>
      <c r="W11">
        <f>HYPERLINK("https://klasma.github.io/Logging_0128/artfynd/A 33473-2025 artfynd.xlsx", "A 33473-2025")</f>
        <v/>
      </c>
      <c r="X11">
        <f>HYPERLINK("https://klasma.github.io/Logging_0128/kartor/A 33473-2025 karta.png", "A 33473-2025")</f>
        <v/>
      </c>
      <c r="Y11">
        <f>HYPERLINK("https://klasma.github.io/Logging_0128/kartor_geotiff/A 33473-2025 georefererad karta.tif", "A 33473-2025")</f>
        <v/>
      </c>
      <c r="AA11">
        <f>HYPERLINK("https://klasma.github.io/Logging_0128/klagomål/A 33473-2025 FSC-klagomål.docx", "A 33473-2025")</f>
        <v/>
      </c>
      <c r="AB11">
        <f>HYPERLINK("https://klasma.github.io/Logging_0128/klagomålsmail/A 33473-2025 FSC-klagomål mail.docx", "A 33473-2025")</f>
        <v/>
      </c>
      <c r="AC11">
        <f>HYPERLINK("https://klasma.github.io/Logging_0128/tillsyn/A 33473-2025 tillsynsbegäran.docx", "A 33473-2025")</f>
        <v/>
      </c>
      <c r="AD11">
        <f>HYPERLINK("https://klasma.github.io/Logging_0128/tillsynsmail/A 33473-2025 tillsynsbegäran mail.docx", "A 33473-2025")</f>
        <v/>
      </c>
    </row>
    <row r="12" ht="15" customHeight="1">
      <c r="A12" t="inlineStr">
        <is>
          <t>S 2180-2023</t>
        </is>
      </c>
      <c r="B12" t="inlineStr">
        <is>
          <t>samrådsanmälan</t>
        </is>
      </c>
      <c r="C12" t="inlineStr">
        <is>
          <t>Annan skogsbruksåtgärd</t>
        </is>
      </c>
      <c r="D12" s="1" t="n">
        <v>45098</v>
      </c>
      <c r="E12" s="1" t="n">
        <v>46281</v>
      </c>
      <c r="F12" t="inlineStr">
        <is>
          <t>STOCKHOLMS LÄN</t>
        </is>
      </c>
      <c r="G12" t="inlineStr">
        <is>
          <t>SALEM</t>
        </is>
      </c>
      <c r="I12" t="n">
        <v>3.4</v>
      </c>
      <c r="J12" t="n">
        <v>0</v>
      </c>
      <c r="K12" t="n">
        <v>0</v>
      </c>
      <c r="L12" t="n">
        <v>1</v>
      </c>
      <c r="M12" t="n">
        <v>0</v>
      </c>
      <c r="N12" t="n">
        <v>0</v>
      </c>
      <c r="O12" t="n">
        <v>0</v>
      </c>
      <c r="P12" t="n">
        <v>0</v>
      </c>
      <c r="Q12" t="n">
        <v>1</v>
      </c>
      <c r="R12" t="n">
        <v>0</v>
      </c>
      <c r="S12" t="n">
        <v>1</v>
      </c>
      <c r="T12" t="n">
        <v>1</v>
      </c>
      <c r="U12" t="n">
        <v>1</v>
      </c>
      <c r="V12" s="2" t="inlineStr">
        <is>
          <t>Fläckvingad träfluga</t>
        </is>
      </c>
      <c r="W12">
        <f>HYPERLINK("https://klasma.github.io/Logging_0128/artfynd/S 2180-2023 artfynd.xlsx", "S 2180-2023")</f>
        <v/>
      </c>
      <c r="X12">
        <f>HYPERLINK("https://klasma.github.io/Logging_0128/kartor/S 2180-2023 karta.png", "S 2180-2023")</f>
        <v/>
      </c>
      <c r="Y12">
        <f>HYPERLINK("https://klasma.github.io/Logging_0128/kartor_geotiff/S 2180-2023 georefererad karta.tif", "S 2180-2023")</f>
        <v/>
      </c>
      <c r="AA12">
        <f>HYPERLINK("https://klasma.github.io/Logging_0128/klagomål/S 2180-2023 FSC-klagomål.docx", "S 2180-2023")</f>
        <v/>
      </c>
      <c r="AB12">
        <f>HYPERLINK("https://klasma.github.io/Logging_0128/klagomålsmail/S 2180-2023 FSC-klagomål mail.docx", "S 2180-2023")</f>
        <v/>
      </c>
      <c r="AC12">
        <f>HYPERLINK("https://klasma.github.io/Logging_0128/tillsyn/S 2180-2023 tillsynsbegäran.docx", "S 2180-2023")</f>
        <v/>
      </c>
      <c r="AD12">
        <f>HYPERLINK("https://klasma.github.io/Logging_0128/tillsynsmail/S 2180-2023 tillsynsbegäran mail.docx", "S 2180-2023")</f>
        <v/>
      </c>
    </row>
    <row r="13" ht="15" customHeight="1">
      <c r="A13" t="inlineStr">
        <is>
          <t>A 504-2023</t>
        </is>
      </c>
      <c r="B13" t="inlineStr">
        <is>
          <t>avverkningsanmälan</t>
        </is>
      </c>
      <c r="C13" t="inlineStr">
        <is>
          <t>Föryngringsavverkning</t>
        </is>
      </c>
      <c r="D13" s="1" t="n">
        <v>44930</v>
      </c>
      <c r="E13" s="1" t="n">
        <v>46281</v>
      </c>
      <c r="F13" t="inlineStr">
        <is>
          <t>STOCKHOLMS LÄN</t>
        </is>
      </c>
      <c r="G13" t="inlineStr">
        <is>
          <t>SALEM</t>
        </is>
      </c>
      <c r="H13" t="inlineStr">
        <is>
          <t>Kommuner</t>
        </is>
      </c>
      <c r="I13" t="n">
        <v>2</v>
      </c>
      <c r="J13" t="n">
        <v>0</v>
      </c>
      <c r="K13" t="n">
        <v>0</v>
      </c>
      <c r="L13" t="n">
        <v>0</v>
      </c>
      <c r="M13" t="n">
        <v>0</v>
      </c>
      <c r="N13" t="n">
        <v>0</v>
      </c>
      <c r="O13" t="n">
        <v>0</v>
      </c>
      <c r="P13" t="n">
        <v>0</v>
      </c>
      <c r="Q13" t="n">
        <v>0</v>
      </c>
      <c r="R13" t="n">
        <v>0</v>
      </c>
      <c r="S13" t="n">
        <v>0</v>
      </c>
      <c r="T13" t="n">
        <v>0</v>
      </c>
      <c r="U13" t="n">
        <v>0</v>
      </c>
      <c r="V13" s="2" t="inlineStr"/>
    </row>
    <row r="14" ht="15" customHeight="1">
      <c r="A14" t="inlineStr">
        <is>
          <t>A 58592-2023</t>
        </is>
      </c>
      <c r="B14" t="inlineStr">
        <is>
          <t>avverkningsanmälan</t>
        </is>
      </c>
      <c r="C14" t="inlineStr">
        <is>
          <t>Föryngringsavverkning</t>
        </is>
      </c>
      <c r="D14" s="1" t="n">
        <v>45251</v>
      </c>
      <c r="E14" s="1" t="n">
        <v>46281</v>
      </c>
      <c r="F14" t="inlineStr">
        <is>
          <t>STOCKHOLMS LÄN</t>
        </is>
      </c>
      <c r="G14" t="inlineStr">
        <is>
          <t>SALEM</t>
        </is>
      </c>
      <c r="I14" t="n">
        <v>2.1</v>
      </c>
      <c r="J14" t="n">
        <v>0</v>
      </c>
      <c r="K14" t="n">
        <v>0</v>
      </c>
      <c r="L14" t="n">
        <v>0</v>
      </c>
      <c r="M14" t="n">
        <v>0</v>
      </c>
      <c r="N14" t="n">
        <v>0</v>
      </c>
      <c r="O14" t="n">
        <v>0</v>
      </c>
      <c r="P14" t="n">
        <v>0</v>
      </c>
      <c r="Q14" t="n">
        <v>0</v>
      </c>
      <c r="R14" t="n">
        <v>0</v>
      </c>
      <c r="S14" t="n">
        <v>0</v>
      </c>
      <c r="T14" t="n">
        <v>0</v>
      </c>
      <c r="U14" t="n">
        <v>0</v>
      </c>
      <c r="V14" s="2" t="inlineStr"/>
    </row>
    <row r="15" ht="15" customHeight="1">
      <c r="A15" t="inlineStr">
        <is>
          <t>A 33281-2025</t>
        </is>
      </c>
      <c r="B15" t="inlineStr">
        <is>
          <t>avverkningsanmälan</t>
        </is>
      </c>
      <c r="C15" t="inlineStr">
        <is>
          <t>Avverkning för att bevara och utveckla /försöksver</t>
        </is>
      </c>
      <c r="D15" s="1" t="n">
        <v>45839</v>
      </c>
      <c r="E15" s="1" t="n">
        <v>46281</v>
      </c>
      <c r="F15" t="inlineStr">
        <is>
          <t>STOCKHOLMS LÄN</t>
        </is>
      </c>
      <c r="G15" t="inlineStr">
        <is>
          <t>SALEM</t>
        </is>
      </c>
      <c r="I15" t="n">
        <v>2.6</v>
      </c>
      <c r="J15" t="n">
        <v>0</v>
      </c>
      <c r="K15" t="n">
        <v>0</v>
      </c>
      <c r="L15" t="n">
        <v>0</v>
      </c>
      <c r="M15" t="n">
        <v>0</v>
      </c>
      <c r="N15" t="n">
        <v>0</v>
      </c>
      <c r="O15" t="n">
        <v>0</v>
      </c>
      <c r="P15" t="n">
        <v>0</v>
      </c>
      <c r="Q15" t="n">
        <v>0</v>
      </c>
      <c r="R15" t="n">
        <v>0</v>
      </c>
      <c r="S15" t="n">
        <v>0</v>
      </c>
      <c r="T15" t="n">
        <v>0</v>
      </c>
      <c r="U15" t="n">
        <v>0</v>
      </c>
      <c r="V15" s="2" t="inlineStr"/>
    </row>
    <row r="16" ht="15" customHeight="1">
      <c r="A16" t="inlineStr">
        <is>
          <t>A 60733-2025</t>
        </is>
      </c>
      <c r="B16" t="inlineStr">
        <is>
          <t>avverkningsanmälan</t>
        </is>
      </c>
      <c r="C16" t="inlineStr">
        <is>
          <t>Föryngringsavverkning</t>
        </is>
      </c>
      <c r="D16" s="1" t="n">
        <v>45995</v>
      </c>
      <c r="E16" s="1" t="n">
        <v>46281</v>
      </c>
      <c r="F16" t="inlineStr">
        <is>
          <t>STOCKHOLMS LÄN</t>
        </is>
      </c>
      <c r="G16" t="inlineStr">
        <is>
          <t>SALEM</t>
        </is>
      </c>
      <c r="I16" t="n">
        <v>1.7</v>
      </c>
      <c r="J16" t="n">
        <v>0</v>
      </c>
      <c r="K16" t="n">
        <v>0</v>
      </c>
      <c r="L16" t="n">
        <v>0</v>
      </c>
      <c r="M16" t="n">
        <v>0</v>
      </c>
      <c r="N16" t="n">
        <v>0</v>
      </c>
      <c r="O16" t="n">
        <v>0</v>
      </c>
      <c r="P16" t="n">
        <v>0</v>
      </c>
      <c r="Q16" t="n">
        <v>0</v>
      </c>
      <c r="R16" t="n">
        <v>0</v>
      </c>
      <c r="S16" t="n">
        <v>0</v>
      </c>
      <c r="T16" t="n">
        <v>0</v>
      </c>
      <c r="U16" t="n">
        <v>0</v>
      </c>
      <c r="V16" s="2" t="inlineStr"/>
    </row>
    <row r="17" ht="15" customHeight="1">
      <c r="A17" t="inlineStr">
        <is>
          <t>A 60731-2025</t>
        </is>
      </c>
      <c r="B17" t="inlineStr">
        <is>
          <t>avverkningsanmälan</t>
        </is>
      </c>
      <c r="C17" t="inlineStr">
        <is>
          <t>Föryngringsavverkning</t>
        </is>
      </c>
      <c r="D17" s="1" t="n">
        <v>45995</v>
      </c>
      <c r="E17" s="1" t="n">
        <v>46281</v>
      </c>
      <c r="F17" t="inlineStr">
        <is>
          <t>STOCKHOLMS LÄN</t>
        </is>
      </c>
      <c r="G17" t="inlineStr">
        <is>
          <t>SALEM</t>
        </is>
      </c>
      <c r="I17" t="n">
        <v>0.8</v>
      </c>
      <c r="J17" t="n">
        <v>0</v>
      </c>
      <c r="K17" t="n">
        <v>0</v>
      </c>
      <c r="L17" t="n">
        <v>0</v>
      </c>
      <c r="M17" t="n">
        <v>0</v>
      </c>
      <c r="N17" t="n">
        <v>0</v>
      </c>
      <c r="O17" t="n">
        <v>0</v>
      </c>
      <c r="P17" t="n">
        <v>0</v>
      </c>
      <c r="Q17" t="n">
        <v>0</v>
      </c>
      <c r="R17" t="n">
        <v>0</v>
      </c>
      <c r="S17" t="n">
        <v>0</v>
      </c>
      <c r="T17" t="n">
        <v>0</v>
      </c>
      <c r="U17" t="n">
        <v>0</v>
      </c>
      <c r="V17" s="2" t="inlineStr"/>
    </row>
    <row r="18" ht="15" customHeight="1">
      <c r="A18" t="inlineStr">
        <is>
          <t>A 61336-2022</t>
        </is>
      </c>
      <c r="B18" t="inlineStr">
        <is>
          <t>avverkningsanmälan</t>
        </is>
      </c>
      <c r="C18" t="inlineStr">
        <is>
          <t>Föryngringsavverkning</t>
        </is>
      </c>
      <c r="D18" s="1" t="n">
        <v>44915</v>
      </c>
      <c r="E18" s="1" t="n">
        <v>46281</v>
      </c>
      <c r="F18" t="inlineStr">
        <is>
          <t>STOCKHOLMS LÄN</t>
        </is>
      </c>
      <c r="G18" t="inlineStr">
        <is>
          <t>SALEM</t>
        </is>
      </c>
      <c r="H18" t="inlineStr">
        <is>
          <t>Kommuner</t>
        </is>
      </c>
      <c r="I18" t="n">
        <v>5.6</v>
      </c>
      <c r="J18" t="n">
        <v>0</v>
      </c>
      <c r="K18" t="n">
        <v>0</v>
      </c>
      <c r="L18" t="n">
        <v>0</v>
      </c>
      <c r="M18" t="n">
        <v>0</v>
      </c>
      <c r="N18" t="n">
        <v>0</v>
      </c>
      <c r="O18" t="n">
        <v>0</v>
      </c>
      <c r="P18" t="n">
        <v>0</v>
      </c>
      <c r="Q18" t="n">
        <v>0</v>
      </c>
      <c r="R18" t="n">
        <v>0</v>
      </c>
      <c r="S18" t="n">
        <v>0</v>
      </c>
      <c r="T18" t="n">
        <v>0</v>
      </c>
      <c r="U18" t="n">
        <v>0</v>
      </c>
      <c r="V18" s="2" t="inlineStr"/>
    </row>
    <row r="19" ht="15" customHeight="1">
      <c r="A19" t="inlineStr">
        <is>
          <t>A 9533-2024</t>
        </is>
      </c>
      <c r="B19" t="inlineStr">
        <is>
          <t>avverkningsanmälan</t>
        </is>
      </c>
      <c r="C19" t="inlineStr">
        <is>
          <t>Föryngringsavverkning</t>
        </is>
      </c>
      <c r="D19" s="1" t="n">
        <v>45359</v>
      </c>
      <c r="E19" s="1" t="n">
        <v>46281</v>
      </c>
      <c r="F19" t="inlineStr">
        <is>
          <t>STOCKHOLMS LÄN</t>
        </is>
      </c>
      <c r="G19" t="inlineStr">
        <is>
          <t>SALEM</t>
        </is>
      </c>
      <c r="H19" t="inlineStr">
        <is>
          <t>Kommuner</t>
        </is>
      </c>
      <c r="I19" t="n">
        <v>2.6</v>
      </c>
      <c r="J19" t="n">
        <v>0</v>
      </c>
      <c r="K19" t="n">
        <v>0</v>
      </c>
      <c r="L19" t="n">
        <v>0</v>
      </c>
      <c r="M19" t="n">
        <v>0</v>
      </c>
      <c r="N19" t="n">
        <v>0</v>
      </c>
      <c r="O19" t="n">
        <v>0</v>
      </c>
      <c r="P19" t="n">
        <v>0</v>
      </c>
      <c r="Q19" t="n">
        <v>0</v>
      </c>
      <c r="R19" t="n">
        <v>0</v>
      </c>
      <c r="S19" t="n">
        <v>0</v>
      </c>
      <c r="T19" t="n">
        <v>0</v>
      </c>
      <c r="U19" t="n">
        <v>0</v>
      </c>
      <c r="V19" s="2" t="inlineStr"/>
    </row>
    <row r="20" ht="15" customHeight="1">
      <c r="A20" t="inlineStr">
        <is>
          <t>A 23992-2023</t>
        </is>
      </c>
      <c r="B20" t="inlineStr">
        <is>
          <t>avverkningsanmälan</t>
        </is>
      </c>
      <c r="C20" t="inlineStr">
        <is>
          <t>Föryngringsavverkning</t>
        </is>
      </c>
      <c r="D20" s="1" t="n">
        <v>45078</v>
      </c>
      <c r="E20" s="1" t="n">
        <v>46281</v>
      </c>
      <c r="F20" t="inlineStr">
        <is>
          <t>STOCKHOLMS LÄN</t>
        </is>
      </c>
      <c r="G20" t="inlineStr">
        <is>
          <t>SALEM</t>
        </is>
      </c>
      <c r="H20" t="inlineStr">
        <is>
          <t>Kommuner</t>
        </is>
      </c>
      <c r="I20" t="n">
        <v>0.7</v>
      </c>
      <c r="J20" t="n">
        <v>0</v>
      </c>
      <c r="K20" t="n">
        <v>0</v>
      </c>
      <c r="L20" t="n">
        <v>0</v>
      </c>
      <c r="M20" t="n">
        <v>0</v>
      </c>
      <c r="N20" t="n">
        <v>0</v>
      </c>
      <c r="O20" t="n">
        <v>0</v>
      </c>
      <c r="P20" t="n">
        <v>0</v>
      </c>
      <c r="Q20" t="n">
        <v>0</v>
      </c>
      <c r="R20" t="n">
        <v>0</v>
      </c>
      <c r="S20" t="n">
        <v>0</v>
      </c>
      <c r="T20" t="n">
        <v>0</v>
      </c>
      <c r="U20" t="n">
        <v>0</v>
      </c>
      <c r="V20" s="2" t="inlineStr"/>
    </row>
    <row r="21" ht="15" customHeight="1">
      <c r="A21" t="inlineStr">
        <is>
          <t>A 46919-2023</t>
        </is>
      </c>
      <c r="B21" t="inlineStr">
        <is>
          <t>avverkningsanmälan</t>
        </is>
      </c>
      <c r="C21" t="inlineStr">
        <is>
          <t>Föryngringsavverkning</t>
        </is>
      </c>
      <c r="D21" s="1" t="n">
        <v>45201</v>
      </c>
      <c r="E21" s="1" t="n">
        <v>46281</v>
      </c>
      <c r="F21" t="inlineStr">
        <is>
          <t>STOCKHOLMS LÄN</t>
        </is>
      </c>
      <c r="G21" t="inlineStr">
        <is>
          <t>SALEM</t>
        </is>
      </c>
      <c r="H21" t="inlineStr">
        <is>
          <t>Kommuner</t>
        </is>
      </c>
      <c r="I21" t="n">
        <v>1.3</v>
      </c>
      <c r="J21" t="n">
        <v>0</v>
      </c>
      <c r="K21" t="n">
        <v>0</v>
      </c>
      <c r="L21" t="n">
        <v>0</v>
      </c>
      <c r="M21" t="n">
        <v>0</v>
      </c>
      <c r="N21" t="n">
        <v>0</v>
      </c>
      <c r="O21" t="n">
        <v>0</v>
      </c>
      <c r="P21" t="n">
        <v>0</v>
      </c>
      <c r="Q21" t="n">
        <v>0</v>
      </c>
      <c r="R21" t="n">
        <v>0</v>
      </c>
      <c r="S21" t="n">
        <v>0</v>
      </c>
      <c r="T21" t="n">
        <v>0</v>
      </c>
      <c r="U21" t="n">
        <v>0</v>
      </c>
      <c r="V21" s="2" t="inlineStr"/>
    </row>
    <row r="22" ht="15" customHeight="1">
      <c r="A22" t="inlineStr">
        <is>
          <t>A 51720-2023</t>
        </is>
      </c>
      <c r="B22" t="inlineStr">
        <is>
          <t>avverkningsanmälan</t>
        </is>
      </c>
      <c r="C22" t="inlineStr">
        <is>
          <t>Avverkning för att bevara och utveckla /försöksver</t>
        </is>
      </c>
      <c r="D22" s="1" t="n">
        <v>45222</v>
      </c>
      <c r="E22" s="1" t="n">
        <v>46281</v>
      </c>
      <c r="F22" t="inlineStr">
        <is>
          <t>STOCKHOLMS LÄN</t>
        </is>
      </c>
      <c r="G22" t="inlineStr">
        <is>
          <t>SALEM</t>
        </is>
      </c>
      <c r="I22" t="n">
        <v>0.4</v>
      </c>
      <c r="J22" t="n">
        <v>0</v>
      </c>
      <c r="K22" t="n">
        <v>0</v>
      </c>
      <c r="L22" t="n">
        <v>0</v>
      </c>
      <c r="M22" t="n">
        <v>0</v>
      </c>
      <c r="N22" t="n">
        <v>0</v>
      </c>
      <c r="O22" t="n">
        <v>0</v>
      </c>
      <c r="P22" t="n">
        <v>0</v>
      </c>
      <c r="Q22" t="n">
        <v>0</v>
      </c>
      <c r="R22" t="n">
        <v>0</v>
      </c>
      <c r="S22" t="n">
        <v>0</v>
      </c>
      <c r="T22" t="n">
        <v>0</v>
      </c>
      <c r="U22" t="n">
        <v>0</v>
      </c>
      <c r="V22" s="2" t="inlineStr"/>
    </row>
    <row r="23" ht="15" customHeight="1">
      <c r="A23" t="inlineStr">
        <is>
          <t>A 1071-2023</t>
        </is>
      </c>
      <c r="B23" t="inlineStr">
        <is>
          <t>avverkningsanmälan</t>
        </is>
      </c>
      <c r="C23" t="inlineStr">
        <is>
          <t>Föryngringsavverkning</t>
        </is>
      </c>
      <c r="D23" s="1" t="n">
        <v>44935</v>
      </c>
      <c r="E23" s="1" t="n">
        <v>46281</v>
      </c>
      <c r="F23" t="inlineStr">
        <is>
          <t>STOCKHOLMS LÄN</t>
        </is>
      </c>
      <c r="G23" t="inlineStr">
        <is>
          <t>SALEM</t>
        </is>
      </c>
      <c r="H23" t="inlineStr">
        <is>
          <t>Kommuner</t>
        </is>
      </c>
      <c r="I23" t="n">
        <v>5.1</v>
      </c>
      <c r="J23" t="n">
        <v>0</v>
      </c>
      <c r="K23" t="n">
        <v>0</v>
      </c>
      <c r="L23" t="n">
        <v>0</v>
      </c>
      <c r="M23" t="n">
        <v>0</v>
      </c>
      <c r="N23" t="n">
        <v>0</v>
      </c>
      <c r="O23" t="n">
        <v>0</v>
      </c>
      <c r="P23" t="n">
        <v>0</v>
      </c>
      <c r="Q23" t="n">
        <v>0</v>
      </c>
      <c r="R23" t="n">
        <v>0</v>
      </c>
      <c r="S23" t="n">
        <v>0</v>
      </c>
      <c r="T23" t="n">
        <v>0</v>
      </c>
      <c r="U23" t="n">
        <v>0</v>
      </c>
      <c r="V23" s="2" t="inlineStr"/>
    </row>
    <row r="24" ht="15" customHeight="1">
      <c r="A24" t="inlineStr">
        <is>
          <t>A 33428-2025</t>
        </is>
      </c>
      <c r="B24" t="inlineStr">
        <is>
          <t>avverkningsanmälan</t>
        </is>
      </c>
      <c r="C24" t="inlineStr">
        <is>
          <t>Avverkning för att bevara och utveckla /försöksver</t>
        </is>
      </c>
      <c r="D24" s="1" t="n">
        <v>45839</v>
      </c>
      <c r="E24" s="1" t="n">
        <v>46281</v>
      </c>
      <c r="F24" t="inlineStr">
        <is>
          <t>STOCKHOLMS LÄN</t>
        </is>
      </c>
      <c r="G24" t="inlineStr">
        <is>
          <t>SALEM</t>
        </is>
      </c>
      <c r="I24" t="n">
        <v>2.2</v>
      </c>
      <c r="J24" t="n">
        <v>0</v>
      </c>
      <c r="K24" t="n">
        <v>0</v>
      </c>
      <c r="L24" t="n">
        <v>0</v>
      </c>
      <c r="M24" t="n">
        <v>0</v>
      </c>
      <c r="N24" t="n">
        <v>0</v>
      </c>
      <c r="O24" t="n">
        <v>0</v>
      </c>
      <c r="P24" t="n">
        <v>0</v>
      </c>
      <c r="Q24" t="n">
        <v>0</v>
      </c>
      <c r="R24" t="n">
        <v>0</v>
      </c>
      <c r="S24" t="n">
        <v>0</v>
      </c>
      <c r="T24" t="n">
        <v>0</v>
      </c>
      <c r="U24" t="n">
        <v>0</v>
      </c>
      <c r="V24" s="2" t="inlineStr"/>
    </row>
    <row r="25" ht="15" customHeight="1">
      <c r="A25" t="inlineStr">
        <is>
          <t>A 32946-2025</t>
        </is>
      </c>
      <c r="B25" t="inlineStr">
        <is>
          <t>avverkningsanmälan</t>
        </is>
      </c>
      <c r="C25" t="inlineStr">
        <is>
          <t>Avverkning för att bevara och utveckla /försöksver</t>
        </is>
      </c>
      <c r="D25" s="1" t="n">
        <v>45839</v>
      </c>
      <c r="E25" s="1" t="n">
        <v>46281</v>
      </c>
      <c r="F25" t="inlineStr">
        <is>
          <t>STOCKHOLMS LÄN</t>
        </is>
      </c>
      <c r="G25" t="inlineStr">
        <is>
          <t>SALEM</t>
        </is>
      </c>
      <c r="I25" t="n">
        <v>1.6</v>
      </c>
      <c r="J25" t="n">
        <v>0</v>
      </c>
      <c r="K25" t="n">
        <v>0</v>
      </c>
      <c r="L25" t="n">
        <v>0</v>
      </c>
      <c r="M25" t="n">
        <v>0</v>
      </c>
      <c r="N25" t="n">
        <v>0</v>
      </c>
      <c r="O25" t="n">
        <v>0</v>
      </c>
      <c r="P25" t="n">
        <v>0</v>
      </c>
      <c r="Q25" t="n">
        <v>0</v>
      </c>
      <c r="R25" t="n">
        <v>0</v>
      </c>
      <c r="S25" t="n">
        <v>0</v>
      </c>
      <c r="T25" t="n">
        <v>0</v>
      </c>
      <c r="U25" t="n">
        <v>0</v>
      </c>
      <c r="V25" s="2" t="inlineStr"/>
    </row>
    <row r="26" ht="15" customHeight="1">
      <c r="A26" t="inlineStr">
        <is>
          <t>A 33277-2025</t>
        </is>
      </c>
      <c r="B26" t="inlineStr">
        <is>
          <t>avverkningsanmälan</t>
        </is>
      </c>
      <c r="C26" t="inlineStr">
        <is>
          <t>Avverkning för att bevara och utveckla /försöksver</t>
        </is>
      </c>
      <c r="D26" s="1" t="n">
        <v>45839</v>
      </c>
      <c r="E26" s="1" t="n">
        <v>46281</v>
      </c>
      <c r="F26" t="inlineStr">
        <is>
          <t>STOCKHOLMS LÄN</t>
        </is>
      </c>
      <c r="G26" t="inlineStr">
        <is>
          <t>SALEM</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33455-2025</t>
        </is>
      </c>
      <c r="B27" t="inlineStr">
        <is>
          <t>avverkningsanmälan</t>
        </is>
      </c>
      <c r="C27" t="inlineStr">
        <is>
          <t>Avverkning för att bevara och utveckla /försöksver</t>
        </is>
      </c>
      <c r="D27" s="1" t="n">
        <v>45839</v>
      </c>
      <c r="E27" s="1" t="n">
        <v>46281</v>
      </c>
      <c r="F27" t="inlineStr">
        <is>
          <t>STOCKHOLMS LÄN</t>
        </is>
      </c>
      <c r="G27" t="inlineStr">
        <is>
          <t>SALEM</t>
        </is>
      </c>
      <c r="I27" t="n">
        <v>0.9</v>
      </c>
      <c r="J27" t="n">
        <v>0</v>
      </c>
      <c r="K27" t="n">
        <v>0</v>
      </c>
      <c r="L27" t="n">
        <v>0</v>
      </c>
      <c r="M27" t="n">
        <v>0</v>
      </c>
      <c r="N27" t="n">
        <v>0</v>
      </c>
      <c r="O27" t="n">
        <v>0</v>
      </c>
      <c r="P27" t="n">
        <v>0</v>
      </c>
      <c r="Q27" t="n">
        <v>0</v>
      </c>
      <c r="R27" t="n">
        <v>0</v>
      </c>
      <c r="S27" t="n">
        <v>0</v>
      </c>
      <c r="T27" t="n">
        <v>0</v>
      </c>
      <c r="U27" t="n">
        <v>0</v>
      </c>
      <c r="V27" s="2" t="inlineStr"/>
    </row>
    <row r="28" ht="15" customHeight="1">
      <c r="A28" t="inlineStr">
        <is>
          <t>A 33243-2025</t>
        </is>
      </c>
      <c r="B28" t="inlineStr">
        <is>
          <t>avverkningsanmälan</t>
        </is>
      </c>
      <c r="C28" t="inlineStr">
        <is>
          <t>Avverkning för att bevara och utveckla /försöksver</t>
        </is>
      </c>
      <c r="D28" s="1" t="n">
        <v>45839</v>
      </c>
      <c r="E28" s="1" t="n">
        <v>46281</v>
      </c>
      <c r="F28" t="inlineStr">
        <is>
          <t>STOCKHOLMS LÄN</t>
        </is>
      </c>
      <c r="G28" t="inlineStr">
        <is>
          <t>SALEM</t>
        </is>
      </c>
      <c r="I28" t="n">
        <v>2.7</v>
      </c>
      <c r="J28" t="n">
        <v>0</v>
      </c>
      <c r="K28" t="n">
        <v>0</v>
      </c>
      <c r="L28" t="n">
        <v>0</v>
      </c>
      <c r="M28" t="n">
        <v>0</v>
      </c>
      <c r="N28" t="n">
        <v>0</v>
      </c>
      <c r="O28" t="n">
        <v>0</v>
      </c>
      <c r="P28" t="n">
        <v>0</v>
      </c>
      <c r="Q28" t="n">
        <v>0</v>
      </c>
      <c r="R28" t="n">
        <v>0</v>
      </c>
      <c r="S28" t="n">
        <v>0</v>
      </c>
      <c r="T28" t="n">
        <v>0</v>
      </c>
      <c r="U28" t="n">
        <v>0</v>
      </c>
      <c r="V28" s="2" t="inlineStr"/>
    </row>
    <row r="29" ht="15" customHeight="1">
      <c r="A29" t="inlineStr">
        <is>
          <t>A 33251-2025</t>
        </is>
      </c>
      <c r="B29" t="inlineStr">
        <is>
          <t>avverkningsanmälan</t>
        </is>
      </c>
      <c r="C29" t="inlineStr">
        <is>
          <t>Avverkning för att bevara och utveckla /försöksver</t>
        </is>
      </c>
      <c r="D29" s="1" t="n">
        <v>45839</v>
      </c>
      <c r="E29" s="1" t="n">
        <v>46281</v>
      </c>
      <c r="F29" t="inlineStr">
        <is>
          <t>STOCKHOLMS LÄN</t>
        </is>
      </c>
      <c r="G29" t="inlineStr">
        <is>
          <t>SALEM</t>
        </is>
      </c>
      <c r="I29" t="n">
        <v>2.9</v>
      </c>
      <c r="J29" t="n">
        <v>0</v>
      </c>
      <c r="K29" t="n">
        <v>0</v>
      </c>
      <c r="L29" t="n">
        <v>0</v>
      </c>
      <c r="M29" t="n">
        <v>0</v>
      </c>
      <c r="N29" t="n">
        <v>0</v>
      </c>
      <c r="O29" t="n">
        <v>0</v>
      </c>
      <c r="P29" t="n">
        <v>0</v>
      </c>
      <c r="Q29" t="n">
        <v>0</v>
      </c>
      <c r="R29" t="n">
        <v>0</v>
      </c>
      <c r="S29" t="n">
        <v>0</v>
      </c>
      <c r="T29" t="n">
        <v>0</v>
      </c>
      <c r="U29" t="n">
        <v>0</v>
      </c>
      <c r="V29" s="2" t="inlineStr"/>
    </row>
    <row r="30" ht="15" customHeight="1">
      <c r="A30" t="inlineStr">
        <is>
          <t>A 33446-2025</t>
        </is>
      </c>
      <c r="B30" t="inlineStr">
        <is>
          <t>avverkningsanmälan</t>
        </is>
      </c>
      <c r="C30" t="inlineStr">
        <is>
          <t>Avverkning för att bevara och utveckla /försöksver</t>
        </is>
      </c>
      <c r="D30" s="1" t="n">
        <v>45839</v>
      </c>
      <c r="E30" s="1" t="n">
        <v>46281</v>
      </c>
      <c r="F30" t="inlineStr">
        <is>
          <t>STOCKHOLMS LÄN</t>
        </is>
      </c>
      <c r="G30" t="inlineStr">
        <is>
          <t>SALEM</t>
        </is>
      </c>
      <c r="I30" t="n">
        <v>9.4</v>
      </c>
      <c r="J30" t="n">
        <v>0</v>
      </c>
      <c r="K30" t="n">
        <v>0</v>
      </c>
      <c r="L30" t="n">
        <v>0</v>
      </c>
      <c r="M30" t="n">
        <v>0</v>
      </c>
      <c r="N30" t="n">
        <v>0</v>
      </c>
      <c r="O30" t="n">
        <v>0</v>
      </c>
      <c r="P30" t="n">
        <v>0</v>
      </c>
      <c r="Q30" t="n">
        <v>0</v>
      </c>
      <c r="R30" t="n">
        <v>0</v>
      </c>
      <c r="S30" t="n">
        <v>0</v>
      </c>
      <c r="T30" t="n">
        <v>0</v>
      </c>
      <c r="U30" t="n">
        <v>0</v>
      </c>
      <c r="V30" s="2" t="inlineStr"/>
    </row>
    <row r="31" ht="15" customHeight="1">
      <c r="A31" t="inlineStr">
        <is>
          <t>A 33421-2025</t>
        </is>
      </c>
      <c r="B31" t="inlineStr">
        <is>
          <t>avverkningsanmälan</t>
        </is>
      </c>
      <c r="C31" t="inlineStr">
        <is>
          <t>Avverkning för att bevara och utveckla /försöksver</t>
        </is>
      </c>
      <c r="D31" s="1" t="n">
        <v>45839</v>
      </c>
      <c r="E31" s="1" t="n">
        <v>46281</v>
      </c>
      <c r="F31" t="inlineStr">
        <is>
          <t>STOCKHOLMS LÄN</t>
        </is>
      </c>
      <c r="G31" t="inlineStr">
        <is>
          <t>SALEM</t>
        </is>
      </c>
      <c r="I31" t="n">
        <v>1</v>
      </c>
      <c r="J31" t="n">
        <v>0</v>
      </c>
      <c r="K31" t="n">
        <v>0</v>
      </c>
      <c r="L31" t="n">
        <v>0</v>
      </c>
      <c r="M31" t="n">
        <v>0</v>
      </c>
      <c r="N31" t="n">
        <v>0</v>
      </c>
      <c r="O31" t="n">
        <v>0</v>
      </c>
      <c r="P31" t="n">
        <v>0</v>
      </c>
      <c r="Q31" t="n">
        <v>0</v>
      </c>
      <c r="R31" t="n">
        <v>0</v>
      </c>
      <c r="S31" t="n">
        <v>0</v>
      </c>
      <c r="T31" t="n">
        <v>0</v>
      </c>
      <c r="U31" t="n">
        <v>0</v>
      </c>
      <c r="V31" s="2" t="inlineStr"/>
    </row>
    <row r="32" ht="15" customHeight="1">
      <c r="A32" t="inlineStr">
        <is>
          <t>A 33029-2025</t>
        </is>
      </c>
      <c r="B32" t="inlineStr">
        <is>
          <t>avverkningsanmälan</t>
        </is>
      </c>
      <c r="C32" t="inlineStr">
        <is>
          <t>Avverkning för att bevara och utveckla /försöksver</t>
        </is>
      </c>
      <c r="D32" s="1" t="n">
        <v>45839</v>
      </c>
      <c r="E32" s="1" t="n">
        <v>46281</v>
      </c>
      <c r="F32" t="inlineStr">
        <is>
          <t>STOCKHOLMS LÄN</t>
        </is>
      </c>
      <c r="G32" t="inlineStr">
        <is>
          <t>SALEM</t>
        </is>
      </c>
      <c r="I32" t="n">
        <v>1.5</v>
      </c>
      <c r="J32" t="n">
        <v>0</v>
      </c>
      <c r="K32" t="n">
        <v>0</v>
      </c>
      <c r="L32" t="n">
        <v>0</v>
      </c>
      <c r="M32" t="n">
        <v>0</v>
      </c>
      <c r="N32" t="n">
        <v>0</v>
      </c>
      <c r="O32" t="n">
        <v>0</v>
      </c>
      <c r="P32" t="n">
        <v>0</v>
      </c>
      <c r="Q32" t="n">
        <v>0</v>
      </c>
      <c r="R32" t="n">
        <v>0</v>
      </c>
      <c r="S32" t="n">
        <v>0</v>
      </c>
      <c r="T32" t="n">
        <v>0</v>
      </c>
      <c r="U32" t="n">
        <v>0</v>
      </c>
      <c r="V32" s="2" t="inlineStr"/>
    </row>
    <row r="33" ht="15" customHeight="1">
      <c r="A33" t="inlineStr">
        <is>
          <t>A 32960-2025</t>
        </is>
      </c>
      <c r="B33" t="inlineStr">
        <is>
          <t>avverkningsanmälan</t>
        </is>
      </c>
      <c r="C33" t="inlineStr">
        <is>
          <t>Avverkning för att bevara och utveckla /försöksver</t>
        </is>
      </c>
      <c r="D33" s="1" t="n">
        <v>45839</v>
      </c>
      <c r="E33" s="1" t="n">
        <v>46281</v>
      </c>
      <c r="F33" t="inlineStr">
        <is>
          <t>STOCKHOLMS LÄN</t>
        </is>
      </c>
      <c r="G33" t="inlineStr">
        <is>
          <t>SALEM</t>
        </is>
      </c>
      <c r="I33" t="n">
        <v>5.3</v>
      </c>
      <c r="J33" t="n">
        <v>0</v>
      </c>
      <c r="K33" t="n">
        <v>0</v>
      </c>
      <c r="L33" t="n">
        <v>0</v>
      </c>
      <c r="M33" t="n">
        <v>0</v>
      </c>
      <c r="N33" t="n">
        <v>0</v>
      </c>
      <c r="O33" t="n">
        <v>0</v>
      </c>
      <c r="P33" t="n">
        <v>0</v>
      </c>
      <c r="Q33" t="n">
        <v>0</v>
      </c>
      <c r="R33" t="n">
        <v>0</v>
      </c>
      <c r="S33" t="n">
        <v>0</v>
      </c>
      <c r="T33" t="n">
        <v>0</v>
      </c>
      <c r="U33" t="n">
        <v>0</v>
      </c>
      <c r="V33" s="2" t="inlineStr"/>
    </row>
    <row r="34" ht="15" customHeight="1">
      <c r="A34" t="inlineStr">
        <is>
          <t>A 32968-2025</t>
        </is>
      </c>
      <c r="B34" t="inlineStr">
        <is>
          <t>avverkningsanmälan</t>
        </is>
      </c>
      <c r="C34" t="inlineStr">
        <is>
          <t>Avverkning för att bevara och utveckla /försöksver</t>
        </is>
      </c>
      <c r="D34" s="1" t="n">
        <v>45839</v>
      </c>
      <c r="E34" s="1" t="n">
        <v>46281</v>
      </c>
      <c r="F34" t="inlineStr">
        <is>
          <t>STOCKHOLMS LÄN</t>
        </is>
      </c>
      <c r="G34" t="inlineStr">
        <is>
          <t>SALEM</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33441-2025</t>
        </is>
      </c>
      <c r="B35" t="inlineStr">
        <is>
          <t>avverkningsanmälan</t>
        </is>
      </c>
      <c r="C35" t="inlineStr">
        <is>
          <t>Avverkning för att bevara och utveckla /försöksver</t>
        </is>
      </c>
      <c r="D35" s="1" t="n">
        <v>45839</v>
      </c>
      <c r="E35" s="1" t="n">
        <v>46281</v>
      </c>
      <c r="F35" t="inlineStr">
        <is>
          <t>STOCKHOLMS LÄN</t>
        </is>
      </c>
      <c r="G35" t="inlineStr">
        <is>
          <t>SALEM</t>
        </is>
      </c>
      <c r="I35" t="n">
        <v>1.7</v>
      </c>
      <c r="J35" t="n">
        <v>0</v>
      </c>
      <c r="K35" t="n">
        <v>0</v>
      </c>
      <c r="L35" t="n">
        <v>0</v>
      </c>
      <c r="M35" t="n">
        <v>0</v>
      </c>
      <c r="N35" t="n">
        <v>0</v>
      </c>
      <c r="O35" t="n">
        <v>0</v>
      </c>
      <c r="P35" t="n">
        <v>0</v>
      </c>
      <c r="Q35" t="n">
        <v>0</v>
      </c>
      <c r="R35" t="n">
        <v>0</v>
      </c>
      <c r="S35" t="n">
        <v>0</v>
      </c>
      <c r="T35" t="n">
        <v>0</v>
      </c>
      <c r="U35" t="n">
        <v>0</v>
      </c>
      <c r="V35" s="2" t="inlineStr"/>
    </row>
    <row r="36" ht="15" customHeight="1">
      <c r="A36" t="inlineStr">
        <is>
          <t>A 33470-2025</t>
        </is>
      </c>
      <c r="B36" t="inlineStr">
        <is>
          <t>avverkningsanmälan</t>
        </is>
      </c>
      <c r="C36" t="inlineStr">
        <is>
          <t>Avverkning för att bevara och utveckla /försöksver</t>
        </is>
      </c>
      <c r="D36" s="1" t="n">
        <v>45839</v>
      </c>
      <c r="E36" s="1" t="n">
        <v>46281</v>
      </c>
      <c r="F36" t="inlineStr">
        <is>
          <t>STOCKHOLMS LÄN</t>
        </is>
      </c>
      <c r="G36" t="inlineStr">
        <is>
          <t>SALEM</t>
        </is>
      </c>
      <c r="I36" t="n">
        <v>2.1</v>
      </c>
      <c r="J36" t="n">
        <v>0</v>
      </c>
      <c r="K36" t="n">
        <v>0</v>
      </c>
      <c r="L36" t="n">
        <v>0</v>
      </c>
      <c r="M36" t="n">
        <v>0</v>
      </c>
      <c r="N36" t="n">
        <v>0</v>
      </c>
      <c r="O36" t="n">
        <v>0</v>
      </c>
      <c r="P36" t="n">
        <v>0</v>
      </c>
      <c r="Q36" t="n">
        <v>0</v>
      </c>
      <c r="R36" t="n">
        <v>0</v>
      </c>
      <c r="S36" t="n">
        <v>0</v>
      </c>
      <c r="T36" t="n">
        <v>0</v>
      </c>
      <c r="U36" t="n">
        <v>0</v>
      </c>
      <c r="V36" s="2" t="inlineStr"/>
    </row>
    <row r="37" ht="15" customHeight="1">
      <c r="A37" t="inlineStr">
        <is>
          <t>A 33284-2025</t>
        </is>
      </c>
      <c r="B37" t="inlineStr">
        <is>
          <t>avverkningsanmälan</t>
        </is>
      </c>
      <c r="C37" t="inlineStr">
        <is>
          <t>Avverkning för att bevara och utveckla /försöksver</t>
        </is>
      </c>
      <c r="D37" s="1" t="n">
        <v>45839</v>
      </c>
      <c r="E37" s="1" t="n">
        <v>46281</v>
      </c>
      <c r="F37" t="inlineStr">
        <is>
          <t>STOCKHOLMS LÄN</t>
        </is>
      </c>
      <c r="G37" t="inlineStr">
        <is>
          <t>SALEM</t>
        </is>
      </c>
      <c r="I37" t="n">
        <v>3.3</v>
      </c>
      <c r="J37" t="n">
        <v>0</v>
      </c>
      <c r="K37" t="n">
        <v>0</v>
      </c>
      <c r="L37" t="n">
        <v>0</v>
      </c>
      <c r="M37" t="n">
        <v>0</v>
      </c>
      <c r="N37" t="n">
        <v>0</v>
      </c>
      <c r="O37" t="n">
        <v>0</v>
      </c>
      <c r="P37" t="n">
        <v>0</v>
      </c>
      <c r="Q37" t="n">
        <v>0</v>
      </c>
      <c r="R37" t="n">
        <v>0</v>
      </c>
      <c r="S37" t="n">
        <v>0</v>
      </c>
      <c r="T37" t="n">
        <v>0</v>
      </c>
      <c r="U37" t="n">
        <v>0</v>
      </c>
      <c r="V37" s="2" t="inlineStr"/>
    </row>
    <row r="38" ht="15" customHeight="1">
      <c r="A38" t="inlineStr">
        <is>
          <t>A 32962-2025</t>
        </is>
      </c>
      <c r="B38" t="inlineStr">
        <is>
          <t>avverkningsanmälan</t>
        </is>
      </c>
      <c r="C38" t="inlineStr">
        <is>
          <t>Avverkning för att bevara och utveckla /försöksver</t>
        </is>
      </c>
      <c r="D38" s="1" t="n">
        <v>45839</v>
      </c>
      <c r="E38" s="1" t="n">
        <v>46281</v>
      </c>
      <c r="F38" t="inlineStr">
        <is>
          <t>STOCKHOLMS LÄN</t>
        </is>
      </c>
      <c r="G38" t="inlineStr">
        <is>
          <t>SALEM</t>
        </is>
      </c>
      <c r="I38" t="n">
        <v>0.8</v>
      </c>
      <c r="J38" t="n">
        <v>0</v>
      </c>
      <c r="K38" t="n">
        <v>0</v>
      </c>
      <c r="L38" t="n">
        <v>0</v>
      </c>
      <c r="M38" t="n">
        <v>0</v>
      </c>
      <c r="N38" t="n">
        <v>0</v>
      </c>
      <c r="O38" t="n">
        <v>0</v>
      </c>
      <c r="P38" t="n">
        <v>0</v>
      </c>
      <c r="Q38" t="n">
        <v>0</v>
      </c>
      <c r="R38" t="n">
        <v>0</v>
      </c>
      <c r="S38" t="n">
        <v>0</v>
      </c>
      <c r="T38" t="n">
        <v>0</v>
      </c>
      <c r="U38" t="n">
        <v>0</v>
      </c>
      <c r="V38" s="2" t="inlineStr"/>
    </row>
    <row r="39" ht="15" customHeight="1">
      <c r="A39" t="inlineStr">
        <is>
          <t>A 32942-2025</t>
        </is>
      </c>
      <c r="B39" t="inlineStr">
        <is>
          <t>avverkningsanmälan</t>
        </is>
      </c>
      <c r="C39" t="inlineStr">
        <is>
          <t>Avverkning för att bevara och utveckla /försöksver</t>
        </is>
      </c>
      <c r="D39" s="1" t="n">
        <v>45839</v>
      </c>
      <c r="E39" s="1" t="n">
        <v>46281</v>
      </c>
      <c r="F39" t="inlineStr">
        <is>
          <t>STOCKHOLMS LÄN</t>
        </is>
      </c>
      <c r="G39" t="inlineStr">
        <is>
          <t>SALEM</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32965-2025</t>
        </is>
      </c>
      <c r="B40" t="inlineStr">
        <is>
          <t>avverkningsanmälan</t>
        </is>
      </c>
      <c r="C40" t="inlineStr">
        <is>
          <t>Avverkning för att bevara och utveckla /försöksver</t>
        </is>
      </c>
      <c r="D40" s="1" t="n">
        <v>45839</v>
      </c>
      <c r="E40" s="1" t="n">
        <v>46281</v>
      </c>
      <c r="F40" t="inlineStr">
        <is>
          <t>STOCKHOLMS LÄN</t>
        </is>
      </c>
      <c r="G40" t="inlineStr">
        <is>
          <t>SALEM</t>
        </is>
      </c>
      <c r="I40" t="n">
        <v>2.8</v>
      </c>
      <c r="J40" t="n">
        <v>0</v>
      </c>
      <c r="K40" t="n">
        <v>0</v>
      </c>
      <c r="L40" t="n">
        <v>0</v>
      </c>
      <c r="M40" t="n">
        <v>0</v>
      </c>
      <c r="N40" t="n">
        <v>0</v>
      </c>
      <c r="O40" t="n">
        <v>0</v>
      </c>
      <c r="P40" t="n">
        <v>0</v>
      </c>
      <c r="Q40" t="n">
        <v>0</v>
      </c>
      <c r="R40" t="n">
        <v>0</v>
      </c>
      <c r="S40" t="n">
        <v>0</v>
      </c>
      <c r="T40" t="n">
        <v>0</v>
      </c>
      <c r="U40" t="n">
        <v>0</v>
      </c>
      <c r="V40" s="2" t="inlineStr"/>
    </row>
    <row r="41" ht="15" customHeight="1">
      <c r="A41" t="inlineStr">
        <is>
          <t>A 32970-2025</t>
        </is>
      </c>
      <c r="B41" t="inlineStr">
        <is>
          <t>avverkningsanmälan</t>
        </is>
      </c>
      <c r="C41" t="inlineStr">
        <is>
          <t>Avverkning för att bevara och utveckla /försöksver</t>
        </is>
      </c>
      <c r="D41" s="1" t="n">
        <v>45839</v>
      </c>
      <c r="E41" s="1" t="n">
        <v>46281</v>
      </c>
      <c r="F41" t="inlineStr">
        <is>
          <t>STOCKHOLMS LÄN</t>
        </is>
      </c>
      <c r="G41" t="inlineStr">
        <is>
          <t>SALEM</t>
        </is>
      </c>
      <c r="I41" t="n">
        <v>10.5</v>
      </c>
      <c r="J41" t="n">
        <v>0</v>
      </c>
      <c r="K41" t="n">
        <v>0</v>
      </c>
      <c r="L41" t="n">
        <v>0</v>
      </c>
      <c r="M41" t="n">
        <v>0</v>
      </c>
      <c r="N41" t="n">
        <v>0</v>
      </c>
      <c r="O41" t="n">
        <v>0</v>
      </c>
      <c r="P41" t="n">
        <v>0</v>
      </c>
      <c r="Q41" t="n">
        <v>0</v>
      </c>
      <c r="R41" t="n">
        <v>0</v>
      </c>
      <c r="S41" t="n">
        <v>0</v>
      </c>
      <c r="T41" t="n">
        <v>0</v>
      </c>
      <c r="U41" t="n">
        <v>0</v>
      </c>
      <c r="V41" s="2" t="inlineStr"/>
    </row>
    <row r="42" ht="15" customHeight="1">
      <c r="A42" t="inlineStr">
        <is>
          <t>A 33439-2025</t>
        </is>
      </c>
      <c r="B42" t="inlineStr">
        <is>
          <t>avverkningsanmälan</t>
        </is>
      </c>
      <c r="C42" t="inlineStr">
        <is>
          <t>Avverkning för att bevara och utveckla /försöksver</t>
        </is>
      </c>
      <c r="D42" s="1" t="n">
        <v>45839</v>
      </c>
      <c r="E42" s="1" t="n">
        <v>46281</v>
      </c>
      <c r="F42" t="inlineStr">
        <is>
          <t>STOCKHOLMS LÄN</t>
        </is>
      </c>
      <c r="G42" t="inlineStr">
        <is>
          <t>SALEM</t>
        </is>
      </c>
      <c r="I42" t="n">
        <v>2.9</v>
      </c>
      <c r="J42" t="n">
        <v>0</v>
      </c>
      <c r="K42" t="n">
        <v>0</v>
      </c>
      <c r="L42" t="n">
        <v>0</v>
      </c>
      <c r="M42" t="n">
        <v>0</v>
      </c>
      <c r="N42" t="n">
        <v>0</v>
      </c>
      <c r="O42" t="n">
        <v>0</v>
      </c>
      <c r="P42" t="n">
        <v>0</v>
      </c>
      <c r="Q42" t="n">
        <v>0</v>
      </c>
      <c r="R42" t="n">
        <v>0</v>
      </c>
      <c r="S42" t="n">
        <v>0</v>
      </c>
      <c r="T42" t="n">
        <v>0</v>
      </c>
      <c r="U42" t="n">
        <v>0</v>
      </c>
      <c r="V42" s="2" t="inlineStr"/>
    </row>
    <row r="43" ht="15" customHeight="1">
      <c r="A43" t="inlineStr">
        <is>
          <t>A 33460-2025</t>
        </is>
      </c>
      <c r="B43" t="inlineStr">
        <is>
          <t>avverkningsanmälan</t>
        </is>
      </c>
      <c r="C43" t="inlineStr">
        <is>
          <t>Avverkning för att bevara och utveckla /försöksver</t>
        </is>
      </c>
      <c r="D43" s="1" t="n">
        <v>45839</v>
      </c>
      <c r="E43" s="1" t="n">
        <v>46281</v>
      </c>
      <c r="F43" t="inlineStr">
        <is>
          <t>STOCKHOLMS LÄN</t>
        </is>
      </c>
      <c r="G43" t="inlineStr">
        <is>
          <t>SALEM</t>
        </is>
      </c>
      <c r="I43" t="n">
        <v>2.1</v>
      </c>
      <c r="J43" t="n">
        <v>0</v>
      </c>
      <c r="K43" t="n">
        <v>0</v>
      </c>
      <c r="L43" t="n">
        <v>0</v>
      </c>
      <c r="M43" t="n">
        <v>0</v>
      </c>
      <c r="N43" t="n">
        <v>0</v>
      </c>
      <c r="O43" t="n">
        <v>0</v>
      </c>
      <c r="P43" t="n">
        <v>0</v>
      </c>
      <c r="Q43" t="n">
        <v>0</v>
      </c>
      <c r="R43" t="n">
        <v>0</v>
      </c>
      <c r="S43" t="n">
        <v>0</v>
      </c>
      <c r="T43" t="n">
        <v>0</v>
      </c>
      <c r="U43" t="n">
        <v>0</v>
      </c>
      <c r="V43" s="2" t="inlineStr"/>
    </row>
    <row r="44" ht="15" customHeight="1">
      <c r="A44" t="inlineStr">
        <is>
          <t>A 33465-2025</t>
        </is>
      </c>
      <c r="B44" t="inlineStr">
        <is>
          <t>avverkningsanmälan</t>
        </is>
      </c>
      <c r="C44" t="inlineStr">
        <is>
          <t>Avverkning för att bevara och utveckla /försöksver</t>
        </is>
      </c>
      <c r="D44" s="1" t="n">
        <v>45839</v>
      </c>
      <c r="E44" s="1" t="n">
        <v>46281</v>
      </c>
      <c r="F44" t="inlineStr">
        <is>
          <t>STOCKHOLMS LÄN</t>
        </is>
      </c>
      <c r="G44" t="inlineStr">
        <is>
          <t>SALEM</t>
        </is>
      </c>
      <c r="I44" t="n">
        <v>1.6</v>
      </c>
      <c r="J44" t="n">
        <v>0</v>
      </c>
      <c r="K44" t="n">
        <v>0</v>
      </c>
      <c r="L44" t="n">
        <v>0</v>
      </c>
      <c r="M44" t="n">
        <v>0</v>
      </c>
      <c r="N44" t="n">
        <v>0</v>
      </c>
      <c r="O44" t="n">
        <v>0</v>
      </c>
      <c r="P44" t="n">
        <v>0</v>
      </c>
      <c r="Q44" t="n">
        <v>0</v>
      </c>
      <c r="R44" t="n">
        <v>0</v>
      </c>
      <c r="S44" t="n">
        <v>0</v>
      </c>
      <c r="T44" t="n">
        <v>0</v>
      </c>
      <c r="U44" t="n">
        <v>0</v>
      </c>
      <c r="V44" s="2" t="inlineStr"/>
    </row>
    <row r="45" ht="15" customHeight="1">
      <c r="A45" t="inlineStr">
        <is>
          <t>A 32953-2025</t>
        </is>
      </c>
      <c r="B45" t="inlineStr">
        <is>
          <t>avverkningsanmälan</t>
        </is>
      </c>
      <c r="C45" t="inlineStr">
        <is>
          <t>Avverkning för att bevara och utveckla /försöksver</t>
        </is>
      </c>
      <c r="D45" s="1" t="n">
        <v>45839</v>
      </c>
      <c r="E45" s="1" t="n">
        <v>46281</v>
      </c>
      <c r="F45" t="inlineStr">
        <is>
          <t>STOCKHOLMS LÄN</t>
        </is>
      </c>
      <c r="G45" t="inlineStr">
        <is>
          <t>SALEM</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29982-2025</t>
        </is>
      </c>
      <c r="B46" t="inlineStr">
        <is>
          <t>avverkningsanmälan</t>
        </is>
      </c>
      <c r="C46" t="inlineStr">
        <is>
          <t>Avverkning för att bevara och utveckla /försöksver</t>
        </is>
      </c>
      <c r="D46" s="1" t="n">
        <v>45826</v>
      </c>
      <c r="E46" s="1" t="n">
        <v>46281</v>
      </c>
      <c r="F46" t="inlineStr">
        <is>
          <t>STOCKHOLMS LÄN</t>
        </is>
      </c>
      <c r="G46" t="inlineStr">
        <is>
          <t>SALEM</t>
        </is>
      </c>
      <c r="I46" t="n">
        <v>1.5</v>
      </c>
      <c r="J46" t="n">
        <v>0</v>
      </c>
      <c r="K46" t="n">
        <v>0</v>
      </c>
      <c r="L46" t="n">
        <v>0</v>
      </c>
      <c r="M46" t="n">
        <v>0</v>
      </c>
      <c r="N46" t="n">
        <v>0</v>
      </c>
      <c r="O46" t="n">
        <v>0</v>
      </c>
      <c r="P46" t="n">
        <v>0</v>
      </c>
      <c r="Q46" t="n">
        <v>0</v>
      </c>
      <c r="R46" t="n">
        <v>0</v>
      </c>
      <c r="S46" t="n">
        <v>0</v>
      </c>
      <c r="T46" t="n">
        <v>0</v>
      </c>
      <c r="U46" t="n">
        <v>0</v>
      </c>
      <c r="V46" s="2" t="inlineStr"/>
    </row>
    <row r="47">
      <c r="A47" t="inlineStr">
        <is>
          <t>S 1560-2023</t>
        </is>
      </c>
      <c r="B47" t="inlineStr">
        <is>
          <t>samrådsanmälan</t>
        </is>
      </c>
      <c r="C47" t="inlineStr">
        <is>
          <t>Annan skogsbruksåtgärd</t>
        </is>
      </c>
      <c r="D47" s="1" t="n">
        <v>45055</v>
      </c>
      <c r="E47" s="1" t="n">
        <v>46281</v>
      </c>
      <c r="F47" t="inlineStr">
        <is>
          <t>STOCKHOLMS LÄN</t>
        </is>
      </c>
      <c r="G47" t="inlineStr">
        <is>
          <t>SALEM</t>
        </is>
      </c>
      <c r="I47" t="n">
        <v>5.2</v>
      </c>
      <c r="J47" t="n">
        <v>0</v>
      </c>
      <c r="K47" t="n">
        <v>0</v>
      </c>
      <c r="L47" t="n">
        <v>0</v>
      </c>
      <c r="M47" t="n">
        <v>0</v>
      </c>
      <c r="N47" t="n">
        <v>0</v>
      </c>
      <c r="O47" t="n">
        <v>0</v>
      </c>
      <c r="P47" t="n">
        <v>0</v>
      </c>
      <c r="Q47" t="n">
        <v>0</v>
      </c>
      <c r="R47" t="n">
        <v>0</v>
      </c>
      <c r="S47" t="n">
        <v>0</v>
      </c>
      <c r="T47" t="n">
        <v>0</v>
      </c>
      <c r="U47" t="n">
        <v>0</v>
      </c>
      <c r="V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2026-09-16T02:00:45Z</dcterms:created>
  <dcterms:modified xmlns:dcterms="http://purl.org/dc/terms/" xmlns:xsi="http://www.w3.org/2001/XMLSchema-instance" xsi:type="dcterms:W3CDTF">2026-09-16T02:00:45Z</dcterms:modified>
</cp:coreProperties>
</file>