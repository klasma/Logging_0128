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45888</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45888</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45888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45888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45888</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45888</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2987-2023</t>
        </is>
      </c>
      <c r="B10" s="1" t="n">
        <v>44945</v>
      </c>
      <c r="C10" s="1" t="n">
        <v>45888</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41774-2020</t>
        </is>
      </c>
      <c r="B11" s="1" t="n">
        <v>44074</v>
      </c>
      <c r="C11" s="1" t="n">
        <v>45888</v>
      </c>
      <c r="D11" t="inlineStr">
        <is>
          <t>STOCKHOLMS LÄN</t>
        </is>
      </c>
      <c r="E11" t="inlineStr">
        <is>
          <t>SALEM</t>
        </is>
      </c>
      <c r="F11" t="inlineStr">
        <is>
          <t>Kommuner</t>
        </is>
      </c>
      <c r="G11" t="n">
        <v>3.1</v>
      </c>
      <c r="H11" t="n">
        <v>0</v>
      </c>
      <c r="I11" t="n">
        <v>0</v>
      </c>
      <c r="J11" t="n">
        <v>1</v>
      </c>
      <c r="K11" t="n">
        <v>0</v>
      </c>
      <c r="L11" t="n">
        <v>0</v>
      </c>
      <c r="M11" t="n">
        <v>0</v>
      </c>
      <c r="N11" t="n">
        <v>0</v>
      </c>
      <c r="O11" t="n">
        <v>1</v>
      </c>
      <c r="P11" t="n">
        <v>0</v>
      </c>
      <c r="Q11" t="n">
        <v>1</v>
      </c>
      <c r="R11" s="2" t="inlineStr">
        <is>
          <t>Tallticka</t>
        </is>
      </c>
      <c r="S11">
        <f>HYPERLINK("https://klasma.github.io/Logging_0128/artfynd/A 41774-2020 artfynd.xlsx", "A 41774-2020")</f>
        <v/>
      </c>
      <c r="T11">
        <f>HYPERLINK("https://klasma.github.io/Logging_0128/kartor/A 41774-2020 karta.png", "A 41774-2020")</f>
        <v/>
      </c>
      <c r="V11">
        <f>HYPERLINK("https://klasma.github.io/Logging_0128/klagomål/A 41774-2020 FSC-klagomål.docx", "A 41774-2020")</f>
        <v/>
      </c>
      <c r="W11">
        <f>HYPERLINK("https://klasma.github.io/Logging_0128/klagomålsmail/A 41774-2020 FSC-klagomål mail.docx", "A 41774-2020")</f>
        <v/>
      </c>
      <c r="X11">
        <f>HYPERLINK("https://klasma.github.io/Logging_0128/tillsyn/A 41774-2020 tillsynsbegäran.docx", "A 41774-2020")</f>
        <v/>
      </c>
      <c r="Y11">
        <f>HYPERLINK("https://klasma.github.io/Logging_0128/tillsynsmail/A 41774-2020 tillsynsbegäran mail.docx", "A 41774-2020")</f>
        <v/>
      </c>
    </row>
    <row r="12" ht="15" customHeight="1">
      <c r="A12" t="inlineStr">
        <is>
          <t>A 33411-2025</t>
        </is>
      </c>
      <c r="B12" s="1" t="n">
        <v>45839</v>
      </c>
      <c r="C12" s="1" t="n">
        <v>45888</v>
      </c>
      <c r="D12" t="inlineStr">
        <is>
          <t>STOCKHOLMS LÄN</t>
        </is>
      </c>
      <c r="E12" t="inlineStr">
        <is>
          <t>SALEM</t>
        </is>
      </c>
      <c r="G12" t="n">
        <v>2.8</v>
      </c>
      <c r="H12" t="n">
        <v>1</v>
      </c>
      <c r="I12" t="n">
        <v>0</v>
      </c>
      <c r="J12" t="n">
        <v>1</v>
      </c>
      <c r="K12" t="n">
        <v>0</v>
      </c>
      <c r="L12" t="n">
        <v>0</v>
      </c>
      <c r="M12" t="n">
        <v>0</v>
      </c>
      <c r="N12" t="n">
        <v>0</v>
      </c>
      <c r="O12" t="n">
        <v>1</v>
      </c>
      <c r="P12" t="n">
        <v>0</v>
      </c>
      <c r="Q12" t="n">
        <v>1</v>
      </c>
      <c r="R12" s="2" t="inlineStr">
        <is>
          <t>Spillkråka</t>
        </is>
      </c>
      <c r="S12">
        <f>HYPERLINK("https://klasma.github.io/Logging_0128/artfynd/A 33411-2025 artfynd.xlsx", "A 33411-2025")</f>
        <v/>
      </c>
      <c r="T12">
        <f>HYPERLINK("https://klasma.github.io/Logging_0128/kartor/A 33411-2025 karta.png", "A 33411-2025")</f>
        <v/>
      </c>
      <c r="V12">
        <f>HYPERLINK("https://klasma.github.io/Logging_0128/klagomål/A 33411-2025 FSC-klagomål.docx", "A 33411-2025")</f>
        <v/>
      </c>
      <c r="W12">
        <f>HYPERLINK("https://klasma.github.io/Logging_0128/klagomålsmail/A 33411-2025 FSC-klagomål mail.docx", "A 33411-2025")</f>
        <v/>
      </c>
      <c r="X12">
        <f>HYPERLINK("https://klasma.github.io/Logging_0128/tillsyn/A 33411-2025 tillsynsbegäran.docx", "A 33411-2025")</f>
        <v/>
      </c>
      <c r="Y12">
        <f>HYPERLINK("https://klasma.github.io/Logging_0128/tillsynsmail/A 33411-2025 tillsynsbegäran mail.docx", "A 33411-2025")</f>
        <v/>
      </c>
      <c r="Z12">
        <f>HYPERLINK("https://klasma.github.io/Logging_0128/fåglar/A 33411-2025 prioriterade fågelarter.docx", "A 33411-2025")</f>
        <v/>
      </c>
    </row>
    <row r="13" ht="15" customHeight="1">
      <c r="A13" t="inlineStr">
        <is>
          <t>A 32951-2025</t>
        </is>
      </c>
      <c r="B13" s="1" t="n">
        <v>45839</v>
      </c>
      <c r="C13" s="1" t="n">
        <v>45888</v>
      </c>
      <c r="D13" t="inlineStr">
        <is>
          <t>STOCKHOLMS LÄN</t>
        </is>
      </c>
      <c r="E13" t="inlineStr">
        <is>
          <t>SALEM</t>
        </is>
      </c>
      <c r="G13" t="n">
        <v>2.6</v>
      </c>
      <c r="H13" t="n">
        <v>0</v>
      </c>
      <c r="I13" t="n">
        <v>0</v>
      </c>
      <c r="J13" t="n">
        <v>1</v>
      </c>
      <c r="K13" t="n">
        <v>0</v>
      </c>
      <c r="L13" t="n">
        <v>0</v>
      </c>
      <c r="M13" t="n">
        <v>0</v>
      </c>
      <c r="N13" t="n">
        <v>0</v>
      </c>
      <c r="O13" t="n">
        <v>1</v>
      </c>
      <c r="P13" t="n">
        <v>0</v>
      </c>
      <c r="Q13" t="n">
        <v>1</v>
      </c>
      <c r="R13" s="2" t="inlineStr">
        <is>
          <t>Etternässla</t>
        </is>
      </c>
      <c r="S13">
        <f>HYPERLINK("https://klasma.github.io/Logging_0128/artfynd/A 32951-2025 artfynd.xlsx", "A 32951-2025")</f>
        <v/>
      </c>
      <c r="T13">
        <f>HYPERLINK("https://klasma.github.io/Logging_0128/kartor/A 32951-2025 karta.png", "A 32951-2025")</f>
        <v/>
      </c>
      <c r="V13">
        <f>HYPERLINK("https://klasma.github.io/Logging_0128/klagomål/A 32951-2025 FSC-klagomål.docx", "A 32951-2025")</f>
        <v/>
      </c>
      <c r="W13">
        <f>HYPERLINK("https://klasma.github.io/Logging_0128/klagomålsmail/A 32951-2025 FSC-klagomål mail.docx", "A 32951-2025")</f>
        <v/>
      </c>
      <c r="X13">
        <f>HYPERLINK("https://klasma.github.io/Logging_0128/tillsyn/A 32951-2025 tillsynsbegäran.docx", "A 32951-2025")</f>
        <v/>
      </c>
      <c r="Y13">
        <f>HYPERLINK("https://klasma.github.io/Logging_0128/tillsynsmail/A 32951-2025 tillsynsbegäran mail.docx", "A 32951-2025")</f>
        <v/>
      </c>
    </row>
    <row r="14" ht="15" customHeight="1">
      <c r="A14" t="inlineStr">
        <is>
          <t>A 28838-2021</t>
        </is>
      </c>
      <c r="B14" s="1" t="n">
        <v>44357</v>
      </c>
      <c r="C14" s="1" t="n">
        <v>45888</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45888</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43893-2021</t>
        </is>
      </c>
      <c r="B16" s="1" t="n">
        <v>44434</v>
      </c>
      <c r="C16" s="1" t="n">
        <v>45888</v>
      </c>
      <c r="D16" t="inlineStr">
        <is>
          <t>STOCKHOLMS LÄN</t>
        </is>
      </c>
      <c r="E16" t="inlineStr">
        <is>
          <t>SALEM</t>
        </is>
      </c>
      <c r="F16" t="inlineStr">
        <is>
          <t>Kommuner</t>
        </is>
      </c>
      <c r="G16" t="n">
        <v>2.2</v>
      </c>
      <c r="H16" t="n">
        <v>0</v>
      </c>
      <c r="I16" t="n">
        <v>0</v>
      </c>
      <c r="J16" t="n">
        <v>0</v>
      </c>
      <c r="K16" t="n">
        <v>0</v>
      </c>
      <c r="L16" t="n">
        <v>0</v>
      </c>
      <c r="M16" t="n">
        <v>0</v>
      </c>
      <c r="N16" t="n">
        <v>0</v>
      </c>
      <c r="O16" t="n">
        <v>0</v>
      </c>
      <c r="P16" t="n">
        <v>0</v>
      </c>
      <c r="Q16" t="n">
        <v>0</v>
      </c>
      <c r="R16" s="2" t="inlineStr"/>
    </row>
    <row r="17" ht="15" customHeight="1">
      <c r="A17" t="inlineStr">
        <is>
          <t>A 13351-2021</t>
        </is>
      </c>
      <c r="B17" s="1" t="n">
        <v>44273</v>
      </c>
      <c r="C17" s="1" t="n">
        <v>45888</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45888</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33262-2021</t>
        </is>
      </c>
      <c r="B19" s="1" t="n">
        <v>44377.35033564815</v>
      </c>
      <c r="C19" s="1" t="n">
        <v>45888</v>
      </c>
      <c r="D19" t="inlineStr">
        <is>
          <t>STOCKHOLMS LÄN</t>
        </is>
      </c>
      <c r="E19" t="inlineStr">
        <is>
          <t>SALEM</t>
        </is>
      </c>
      <c r="G19" t="n">
        <v>0.7</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45888</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33246-2021</t>
        </is>
      </c>
      <c r="B21" s="1" t="n">
        <v>44377</v>
      </c>
      <c r="C21" s="1" t="n">
        <v>45888</v>
      </c>
      <c r="D21" t="inlineStr">
        <is>
          <t>STOCKHOLMS LÄN</t>
        </is>
      </c>
      <c r="E21" t="inlineStr">
        <is>
          <t>SALEM</t>
        </is>
      </c>
      <c r="G21" t="n">
        <v>3.4</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45888</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46919-2023</t>
        </is>
      </c>
      <c r="B23" s="1" t="n">
        <v>45201</v>
      </c>
      <c r="C23" s="1" t="n">
        <v>45888</v>
      </c>
      <c r="D23" t="inlineStr">
        <is>
          <t>STOCKHOLMS LÄN</t>
        </is>
      </c>
      <c r="E23" t="inlineStr">
        <is>
          <t>SALEM</t>
        </is>
      </c>
      <c r="F23" t="inlineStr">
        <is>
          <t>Kommuner</t>
        </is>
      </c>
      <c r="G23" t="n">
        <v>1.3</v>
      </c>
      <c r="H23" t="n">
        <v>0</v>
      </c>
      <c r="I23" t="n">
        <v>0</v>
      </c>
      <c r="J23" t="n">
        <v>0</v>
      </c>
      <c r="K23" t="n">
        <v>0</v>
      </c>
      <c r="L23" t="n">
        <v>0</v>
      </c>
      <c r="M23" t="n">
        <v>0</v>
      </c>
      <c r="N23" t="n">
        <v>0</v>
      </c>
      <c r="O23" t="n">
        <v>0</v>
      </c>
      <c r="P23" t="n">
        <v>0</v>
      </c>
      <c r="Q23" t="n">
        <v>0</v>
      </c>
      <c r="R23" s="2" t="inlineStr"/>
    </row>
    <row r="24" ht="15" customHeight="1">
      <c r="A24" t="inlineStr">
        <is>
          <t>A 504-2023</t>
        </is>
      </c>
      <c r="B24" s="1" t="n">
        <v>44930</v>
      </c>
      <c r="C24" s="1" t="n">
        <v>45888</v>
      </c>
      <c r="D24" t="inlineStr">
        <is>
          <t>STOCKHOLMS LÄN</t>
        </is>
      </c>
      <c r="E24" t="inlineStr">
        <is>
          <t>SALEM</t>
        </is>
      </c>
      <c r="F24" t="inlineStr">
        <is>
          <t>Kommuner</t>
        </is>
      </c>
      <c r="G24" t="n">
        <v>2</v>
      </c>
      <c r="H24" t="n">
        <v>0</v>
      </c>
      <c r="I24" t="n">
        <v>0</v>
      </c>
      <c r="J24" t="n">
        <v>0</v>
      </c>
      <c r="K24" t="n">
        <v>0</v>
      </c>
      <c r="L24" t="n">
        <v>0</v>
      </c>
      <c r="M24" t="n">
        <v>0</v>
      </c>
      <c r="N24" t="n">
        <v>0</v>
      </c>
      <c r="O24" t="n">
        <v>0</v>
      </c>
      <c r="P24" t="n">
        <v>0</v>
      </c>
      <c r="Q24" t="n">
        <v>0</v>
      </c>
      <c r="R24" s="2" t="inlineStr"/>
    </row>
    <row r="25" ht="15" customHeight="1">
      <c r="A25" t="inlineStr">
        <is>
          <t>A 58592-2023</t>
        </is>
      </c>
      <c r="B25" s="1" t="n">
        <v>45251</v>
      </c>
      <c r="C25" s="1" t="n">
        <v>45888</v>
      </c>
      <c r="D25" t="inlineStr">
        <is>
          <t>STOCKHOLMS LÄN</t>
        </is>
      </c>
      <c r="E25" t="inlineStr">
        <is>
          <t>SALEM</t>
        </is>
      </c>
      <c r="G25" t="n">
        <v>2.1</v>
      </c>
      <c r="H25" t="n">
        <v>0</v>
      </c>
      <c r="I25" t="n">
        <v>0</v>
      </c>
      <c r="J25" t="n">
        <v>0</v>
      </c>
      <c r="K25" t="n">
        <v>0</v>
      </c>
      <c r="L25" t="n">
        <v>0</v>
      </c>
      <c r="M25" t="n">
        <v>0</v>
      </c>
      <c r="N25" t="n">
        <v>0</v>
      </c>
      <c r="O25" t="n">
        <v>0</v>
      </c>
      <c r="P25" t="n">
        <v>0</v>
      </c>
      <c r="Q25" t="n">
        <v>0</v>
      </c>
      <c r="R25" s="2" t="inlineStr"/>
    </row>
    <row r="26" ht="15" customHeight="1">
      <c r="A26" t="inlineStr">
        <is>
          <t>A 12874-2021</t>
        </is>
      </c>
      <c r="B26" s="1" t="n">
        <v>44271.42787037037</v>
      </c>
      <c r="C26" s="1" t="n">
        <v>45888</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61336-2022</t>
        </is>
      </c>
      <c r="B27" s="1" t="n">
        <v>44915</v>
      </c>
      <c r="C27" s="1" t="n">
        <v>45888</v>
      </c>
      <c r="D27" t="inlineStr">
        <is>
          <t>STOCKHOLMS LÄN</t>
        </is>
      </c>
      <c r="E27" t="inlineStr">
        <is>
          <t>SALEM</t>
        </is>
      </c>
      <c r="F27" t="inlineStr">
        <is>
          <t>Kommuner</t>
        </is>
      </c>
      <c r="G27" t="n">
        <v>5.6</v>
      </c>
      <c r="H27" t="n">
        <v>0</v>
      </c>
      <c r="I27" t="n">
        <v>0</v>
      </c>
      <c r="J27" t="n">
        <v>0</v>
      </c>
      <c r="K27" t="n">
        <v>0</v>
      </c>
      <c r="L27" t="n">
        <v>0</v>
      </c>
      <c r="M27" t="n">
        <v>0</v>
      </c>
      <c r="N27" t="n">
        <v>0</v>
      </c>
      <c r="O27" t="n">
        <v>0</v>
      </c>
      <c r="P27" t="n">
        <v>0</v>
      </c>
      <c r="Q27" t="n">
        <v>0</v>
      </c>
      <c r="R27" s="2" t="inlineStr"/>
    </row>
    <row r="28" ht="15" customHeight="1">
      <c r="A28" t="inlineStr">
        <is>
          <t>A 2990-2023</t>
        </is>
      </c>
      <c r="B28" s="1" t="n">
        <v>44945</v>
      </c>
      <c r="C28" s="1" t="n">
        <v>45888</v>
      </c>
      <c r="D28" t="inlineStr">
        <is>
          <t>STOCKHOLMS LÄN</t>
        </is>
      </c>
      <c r="E28" t="inlineStr">
        <is>
          <t>SALEM</t>
        </is>
      </c>
      <c r="F28" t="inlineStr">
        <is>
          <t>Kommuner</t>
        </is>
      </c>
      <c r="G28" t="n">
        <v>4.1</v>
      </c>
      <c r="H28" t="n">
        <v>0</v>
      </c>
      <c r="I28" t="n">
        <v>0</v>
      </c>
      <c r="J28" t="n">
        <v>0</v>
      </c>
      <c r="K28" t="n">
        <v>0</v>
      </c>
      <c r="L28" t="n">
        <v>0</v>
      </c>
      <c r="M28" t="n">
        <v>0</v>
      </c>
      <c r="N28" t="n">
        <v>0</v>
      </c>
      <c r="O28" t="n">
        <v>0</v>
      </c>
      <c r="P28" t="n">
        <v>0</v>
      </c>
      <c r="Q28" t="n">
        <v>0</v>
      </c>
      <c r="R28" s="2" t="inlineStr"/>
    </row>
    <row r="29" ht="15" customHeight="1">
      <c r="A29" t="inlineStr">
        <is>
          <t>A 23992-2023</t>
        </is>
      </c>
      <c r="B29" s="1" t="n">
        <v>45078</v>
      </c>
      <c r="C29" s="1" t="n">
        <v>45888</v>
      </c>
      <c r="D29" t="inlineStr">
        <is>
          <t>STOCKHOLMS LÄN</t>
        </is>
      </c>
      <c r="E29" t="inlineStr">
        <is>
          <t>SALEM</t>
        </is>
      </c>
      <c r="F29" t="inlineStr">
        <is>
          <t>Kommuner</t>
        </is>
      </c>
      <c r="G29" t="n">
        <v>0.7</v>
      </c>
      <c r="H29" t="n">
        <v>0</v>
      </c>
      <c r="I29" t="n">
        <v>0</v>
      </c>
      <c r="J29" t="n">
        <v>0</v>
      </c>
      <c r="K29" t="n">
        <v>0</v>
      </c>
      <c r="L29" t="n">
        <v>0</v>
      </c>
      <c r="M29" t="n">
        <v>0</v>
      </c>
      <c r="N29" t="n">
        <v>0</v>
      </c>
      <c r="O29" t="n">
        <v>0</v>
      </c>
      <c r="P29" t="n">
        <v>0</v>
      </c>
      <c r="Q29" t="n">
        <v>0</v>
      </c>
      <c r="R29" s="2" t="inlineStr"/>
    </row>
    <row r="30" ht="15" customHeight="1">
      <c r="A30" t="inlineStr">
        <is>
          <t>A 32962-2025</t>
        </is>
      </c>
      <c r="B30" s="1" t="n">
        <v>45839</v>
      </c>
      <c r="C30" s="1" t="n">
        <v>45888</v>
      </c>
      <c r="D30" t="inlineStr">
        <is>
          <t>STOCKHOLMS LÄN</t>
        </is>
      </c>
      <c r="E30" t="inlineStr">
        <is>
          <t>SALEM</t>
        </is>
      </c>
      <c r="G30" t="n">
        <v>0.8</v>
      </c>
      <c r="H30" t="n">
        <v>0</v>
      </c>
      <c r="I30" t="n">
        <v>0</v>
      </c>
      <c r="J30" t="n">
        <v>0</v>
      </c>
      <c r="K30" t="n">
        <v>0</v>
      </c>
      <c r="L30" t="n">
        <v>0</v>
      </c>
      <c r="M30" t="n">
        <v>0</v>
      </c>
      <c r="N30" t="n">
        <v>0</v>
      </c>
      <c r="O30" t="n">
        <v>0</v>
      </c>
      <c r="P30" t="n">
        <v>0</v>
      </c>
      <c r="Q30" t="n">
        <v>0</v>
      </c>
      <c r="R30" s="2" t="inlineStr"/>
    </row>
    <row r="31" ht="15" customHeight="1">
      <c r="A31" t="inlineStr">
        <is>
          <t>A 33029-2025</t>
        </is>
      </c>
      <c r="B31" s="1" t="n">
        <v>45839</v>
      </c>
      <c r="C31" s="1" t="n">
        <v>45888</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33455-2025</t>
        </is>
      </c>
      <c r="B32" s="1" t="n">
        <v>45839</v>
      </c>
      <c r="C32" s="1" t="n">
        <v>45888</v>
      </c>
      <c r="D32" t="inlineStr">
        <is>
          <t>STOCKHOLMS LÄN</t>
        </is>
      </c>
      <c r="E32" t="inlineStr">
        <is>
          <t>SALEM</t>
        </is>
      </c>
      <c r="G32" t="n">
        <v>0.9</v>
      </c>
      <c r="H32" t="n">
        <v>0</v>
      </c>
      <c r="I32" t="n">
        <v>0</v>
      </c>
      <c r="J32" t="n">
        <v>0</v>
      </c>
      <c r="K32" t="n">
        <v>0</v>
      </c>
      <c r="L32" t="n">
        <v>0</v>
      </c>
      <c r="M32" t="n">
        <v>0</v>
      </c>
      <c r="N32" t="n">
        <v>0</v>
      </c>
      <c r="O32" t="n">
        <v>0</v>
      </c>
      <c r="P32" t="n">
        <v>0</v>
      </c>
      <c r="Q32" t="n">
        <v>0</v>
      </c>
      <c r="R32" s="2" t="inlineStr"/>
    </row>
    <row r="33" ht="15" customHeight="1">
      <c r="A33" t="inlineStr">
        <is>
          <t>A 41923-2020</t>
        </is>
      </c>
      <c r="B33" s="1" t="n">
        <v>44075</v>
      </c>
      <c r="C33" s="1" t="n">
        <v>45888</v>
      </c>
      <c r="D33" t="inlineStr">
        <is>
          <t>STOCKHOLMS LÄN</t>
        </is>
      </c>
      <c r="E33" t="inlineStr">
        <is>
          <t>SALEM</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45888</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45888</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33277-2025</t>
        </is>
      </c>
      <c r="B36" s="1" t="n">
        <v>45839</v>
      </c>
      <c r="C36" s="1" t="n">
        <v>45888</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45888</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32960-2025</t>
        </is>
      </c>
      <c r="B38" s="1" t="n">
        <v>45839</v>
      </c>
      <c r="C38" s="1" t="n">
        <v>45888</v>
      </c>
      <c r="D38" t="inlineStr">
        <is>
          <t>STOCKHOLMS LÄN</t>
        </is>
      </c>
      <c r="E38" t="inlineStr">
        <is>
          <t>SALEM</t>
        </is>
      </c>
      <c r="G38" t="n">
        <v>5.3</v>
      </c>
      <c r="H38" t="n">
        <v>0</v>
      </c>
      <c r="I38" t="n">
        <v>0</v>
      </c>
      <c r="J38" t="n">
        <v>0</v>
      </c>
      <c r="K38" t="n">
        <v>0</v>
      </c>
      <c r="L38" t="n">
        <v>0</v>
      </c>
      <c r="M38" t="n">
        <v>0</v>
      </c>
      <c r="N38" t="n">
        <v>0</v>
      </c>
      <c r="O38" t="n">
        <v>0</v>
      </c>
      <c r="P38" t="n">
        <v>0</v>
      </c>
      <c r="Q38" t="n">
        <v>0</v>
      </c>
      <c r="R38" s="2" t="inlineStr"/>
    </row>
    <row r="39" ht="15" customHeight="1">
      <c r="A39" t="inlineStr">
        <is>
          <t>A 32968-2025</t>
        </is>
      </c>
      <c r="B39" s="1" t="n">
        <v>45839</v>
      </c>
      <c r="C39" s="1" t="n">
        <v>45888</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45888</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45888</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45888</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33281-2025</t>
        </is>
      </c>
      <c r="B43" s="1" t="n">
        <v>45839</v>
      </c>
      <c r="C43" s="1" t="n">
        <v>45888</v>
      </c>
      <c r="D43" t="inlineStr">
        <is>
          <t>STOCKHOLMS LÄN</t>
        </is>
      </c>
      <c r="E43" t="inlineStr">
        <is>
          <t>SALEM</t>
        </is>
      </c>
      <c r="G43" t="n">
        <v>2.6</v>
      </c>
      <c r="H43" t="n">
        <v>0</v>
      </c>
      <c r="I43" t="n">
        <v>0</v>
      </c>
      <c r="J43" t="n">
        <v>0</v>
      </c>
      <c r="K43" t="n">
        <v>0</v>
      </c>
      <c r="L43" t="n">
        <v>0</v>
      </c>
      <c r="M43" t="n">
        <v>0</v>
      </c>
      <c r="N43" t="n">
        <v>0</v>
      </c>
      <c r="O43" t="n">
        <v>0</v>
      </c>
      <c r="P43" t="n">
        <v>0</v>
      </c>
      <c r="Q43" t="n">
        <v>0</v>
      </c>
      <c r="R43" s="2" t="inlineStr"/>
    </row>
    <row r="44" ht="15" customHeight="1">
      <c r="A44" t="inlineStr">
        <is>
          <t>A 32953-2025</t>
        </is>
      </c>
      <c r="B44" s="1" t="n">
        <v>45839</v>
      </c>
      <c r="C44" s="1" t="n">
        <v>45888</v>
      </c>
      <c r="D44" t="inlineStr">
        <is>
          <t>STOCKHOLMS LÄN</t>
        </is>
      </c>
      <c r="E44" t="inlineStr">
        <is>
          <t>SALEM</t>
        </is>
      </c>
      <c r="G44" t="n">
        <v>2.4</v>
      </c>
      <c r="H44" t="n">
        <v>0</v>
      </c>
      <c r="I44" t="n">
        <v>0</v>
      </c>
      <c r="J44" t="n">
        <v>0</v>
      </c>
      <c r="K44" t="n">
        <v>0</v>
      </c>
      <c r="L44" t="n">
        <v>0</v>
      </c>
      <c r="M44" t="n">
        <v>0</v>
      </c>
      <c r="N44" t="n">
        <v>0</v>
      </c>
      <c r="O44" t="n">
        <v>0</v>
      </c>
      <c r="P44" t="n">
        <v>0</v>
      </c>
      <c r="Q44" t="n">
        <v>0</v>
      </c>
      <c r="R44" s="2" t="inlineStr"/>
    </row>
    <row r="45" ht="15" customHeight="1">
      <c r="A45" t="inlineStr">
        <is>
          <t>A 33470-2025</t>
        </is>
      </c>
      <c r="B45" s="1" t="n">
        <v>45839</v>
      </c>
      <c r="C45" s="1" t="n">
        <v>45888</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33441-2025</t>
        </is>
      </c>
      <c r="B46" s="1" t="n">
        <v>45839</v>
      </c>
      <c r="C46" s="1" t="n">
        <v>45888</v>
      </c>
      <c r="D46" t="inlineStr">
        <is>
          <t>STOCKHOLMS LÄN</t>
        </is>
      </c>
      <c r="E46" t="inlineStr">
        <is>
          <t>SALEM</t>
        </is>
      </c>
      <c r="G46" t="n">
        <v>1.7</v>
      </c>
      <c r="H46" t="n">
        <v>0</v>
      </c>
      <c r="I46" t="n">
        <v>0</v>
      </c>
      <c r="J46" t="n">
        <v>0</v>
      </c>
      <c r="K46" t="n">
        <v>0</v>
      </c>
      <c r="L46" t="n">
        <v>0</v>
      </c>
      <c r="M46" t="n">
        <v>0</v>
      </c>
      <c r="N46" t="n">
        <v>0</v>
      </c>
      <c r="O46" t="n">
        <v>0</v>
      </c>
      <c r="P46" t="n">
        <v>0</v>
      </c>
      <c r="Q46" t="n">
        <v>0</v>
      </c>
      <c r="R46" s="2" t="inlineStr"/>
    </row>
    <row r="47" ht="15" customHeight="1">
      <c r="A47" t="inlineStr">
        <is>
          <t>A 33428-2025</t>
        </is>
      </c>
      <c r="B47" s="1" t="n">
        <v>45839</v>
      </c>
      <c r="C47" s="1" t="n">
        <v>45888</v>
      </c>
      <c r="D47" t="inlineStr">
        <is>
          <t>STOCKHOLMS LÄN</t>
        </is>
      </c>
      <c r="E47" t="inlineStr">
        <is>
          <t>SALEM</t>
        </is>
      </c>
      <c r="G47" t="n">
        <v>2.2</v>
      </c>
      <c r="H47" t="n">
        <v>0</v>
      </c>
      <c r="I47" t="n">
        <v>0</v>
      </c>
      <c r="J47" t="n">
        <v>0</v>
      </c>
      <c r="K47" t="n">
        <v>0</v>
      </c>
      <c r="L47" t="n">
        <v>0</v>
      </c>
      <c r="M47" t="n">
        <v>0</v>
      </c>
      <c r="N47" t="n">
        <v>0</v>
      </c>
      <c r="O47" t="n">
        <v>0</v>
      </c>
      <c r="P47" t="n">
        <v>0</v>
      </c>
      <c r="Q47" t="n">
        <v>0</v>
      </c>
      <c r="R47" s="2" t="inlineStr"/>
    </row>
    <row r="48" ht="15" customHeight="1">
      <c r="A48" t="inlineStr">
        <is>
          <t>A 33439-2025</t>
        </is>
      </c>
      <c r="B48" s="1" t="n">
        <v>45839</v>
      </c>
      <c r="C48" s="1" t="n">
        <v>45888</v>
      </c>
      <c r="D48" t="inlineStr">
        <is>
          <t>STOCKHOLMS LÄN</t>
        </is>
      </c>
      <c r="E48" t="inlineStr">
        <is>
          <t>SALEM</t>
        </is>
      </c>
      <c r="G48" t="n">
        <v>2.9</v>
      </c>
      <c r="H48" t="n">
        <v>0</v>
      </c>
      <c r="I48" t="n">
        <v>0</v>
      </c>
      <c r="J48" t="n">
        <v>0</v>
      </c>
      <c r="K48" t="n">
        <v>0</v>
      </c>
      <c r="L48" t="n">
        <v>0</v>
      </c>
      <c r="M48" t="n">
        <v>0</v>
      </c>
      <c r="N48" t="n">
        <v>0</v>
      </c>
      <c r="O48" t="n">
        <v>0</v>
      </c>
      <c r="P48" t="n">
        <v>0</v>
      </c>
      <c r="Q48" t="n">
        <v>0</v>
      </c>
      <c r="R48" s="2" t="inlineStr"/>
    </row>
    <row r="49" ht="15" customHeight="1">
      <c r="A49" t="inlineStr">
        <is>
          <t>A 33458-2025</t>
        </is>
      </c>
      <c r="B49" s="1" t="n">
        <v>45839</v>
      </c>
      <c r="C49" s="1" t="n">
        <v>45888</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45888</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33465-2025</t>
        </is>
      </c>
      <c r="B51" s="1" t="n">
        <v>45839</v>
      </c>
      <c r="C51" s="1" t="n">
        <v>45888</v>
      </c>
      <c r="D51" t="inlineStr">
        <is>
          <t>STOCKHOLMS LÄN</t>
        </is>
      </c>
      <c r="E51" t="inlineStr">
        <is>
          <t>SALEM</t>
        </is>
      </c>
      <c r="G51" t="n">
        <v>1.6</v>
      </c>
      <c r="H51" t="n">
        <v>0</v>
      </c>
      <c r="I51" t="n">
        <v>0</v>
      </c>
      <c r="J51" t="n">
        <v>0</v>
      </c>
      <c r="K51" t="n">
        <v>0</v>
      </c>
      <c r="L51" t="n">
        <v>0</v>
      </c>
      <c r="M51" t="n">
        <v>0</v>
      </c>
      <c r="N51" t="n">
        <v>0</v>
      </c>
      <c r="O51" t="n">
        <v>0</v>
      </c>
      <c r="P51" t="n">
        <v>0</v>
      </c>
      <c r="Q51" t="n">
        <v>0</v>
      </c>
      <c r="R51" s="2" t="inlineStr"/>
    </row>
    <row r="52" ht="15" customHeight="1">
      <c r="A52" t="inlineStr">
        <is>
          <t>A 32946-2025</t>
        </is>
      </c>
      <c r="B52" s="1" t="n">
        <v>45839</v>
      </c>
      <c r="C52" s="1" t="n">
        <v>45888</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33421-2025</t>
        </is>
      </c>
      <c r="B53" s="1" t="n">
        <v>45839</v>
      </c>
      <c r="C53" s="1" t="n">
        <v>45888</v>
      </c>
      <c r="D53" t="inlineStr">
        <is>
          <t>STOCKHOLMS LÄN</t>
        </is>
      </c>
      <c r="E53" t="inlineStr">
        <is>
          <t>SALEM</t>
        </is>
      </c>
      <c r="G53" t="n">
        <v>1</v>
      </c>
      <c r="H53" t="n">
        <v>0</v>
      </c>
      <c r="I53" t="n">
        <v>0</v>
      </c>
      <c r="J53" t="n">
        <v>0</v>
      </c>
      <c r="K53" t="n">
        <v>0</v>
      </c>
      <c r="L53" t="n">
        <v>0</v>
      </c>
      <c r="M53" t="n">
        <v>0</v>
      </c>
      <c r="N53" t="n">
        <v>0</v>
      </c>
      <c r="O53" t="n">
        <v>0</v>
      </c>
      <c r="P53" t="n">
        <v>0</v>
      </c>
      <c r="Q53" t="n">
        <v>0</v>
      </c>
      <c r="R53" s="2" t="inlineStr"/>
    </row>
    <row r="54" ht="15" customHeight="1">
      <c r="A54" t="inlineStr">
        <is>
          <t>A 33446-2025</t>
        </is>
      </c>
      <c r="B54" s="1" t="n">
        <v>45839</v>
      </c>
      <c r="C54" s="1" t="n">
        <v>45888</v>
      </c>
      <c r="D54" t="inlineStr">
        <is>
          <t>STOCKHOLMS LÄN</t>
        </is>
      </c>
      <c r="E54" t="inlineStr">
        <is>
          <t>SALEM</t>
        </is>
      </c>
      <c r="G54" t="n">
        <v>9.4</v>
      </c>
      <c r="H54" t="n">
        <v>0</v>
      </c>
      <c r="I54" t="n">
        <v>0</v>
      </c>
      <c r="J54" t="n">
        <v>0</v>
      </c>
      <c r="K54" t="n">
        <v>0</v>
      </c>
      <c r="L54" t="n">
        <v>0</v>
      </c>
      <c r="M54" t="n">
        <v>0</v>
      </c>
      <c r="N54" t="n">
        <v>0</v>
      </c>
      <c r="O54" t="n">
        <v>0</v>
      </c>
      <c r="P54" t="n">
        <v>0</v>
      </c>
      <c r="Q54" t="n">
        <v>0</v>
      </c>
      <c r="R54" s="2" t="inlineStr"/>
    </row>
    <row r="55" ht="15" customHeight="1">
      <c r="A55" t="inlineStr">
        <is>
          <t>A 33473-2025</t>
        </is>
      </c>
      <c r="B55" s="1" t="n">
        <v>45839</v>
      </c>
      <c r="C55" s="1" t="n">
        <v>45888</v>
      </c>
      <c r="D55" t="inlineStr">
        <is>
          <t>STOCKHOLMS LÄN</t>
        </is>
      </c>
      <c r="E55" t="inlineStr">
        <is>
          <t>SALEM</t>
        </is>
      </c>
      <c r="G55" t="n">
        <v>5.7</v>
      </c>
      <c r="H55" t="n">
        <v>0</v>
      </c>
      <c r="I55" t="n">
        <v>0</v>
      </c>
      <c r="J55" t="n">
        <v>0</v>
      </c>
      <c r="K55" t="n">
        <v>0</v>
      </c>
      <c r="L55" t="n">
        <v>0</v>
      </c>
      <c r="M55" t="n">
        <v>0</v>
      </c>
      <c r="N55" t="n">
        <v>0</v>
      </c>
      <c r="O55" t="n">
        <v>0</v>
      </c>
      <c r="P55" t="n">
        <v>0</v>
      </c>
      <c r="Q55" t="n">
        <v>0</v>
      </c>
      <c r="R55" s="2" t="inlineStr"/>
    </row>
    <row r="56" ht="15" customHeight="1">
      <c r="A56" t="inlineStr">
        <is>
          <t>A 29982-2025</t>
        </is>
      </c>
      <c r="B56" s="1" t="n">
        <v>45826</v>
      </c>
      <c r="C56" s="1" t="n">
        <v>45888</v>
      </c>
      <c r="D56" t="inlineStr">
        <is>
          <t>STOCKHOLMS LÄN</t>
        </is>
      </c>
      <c r="E56" t="inlineStr">
        <is>
          <t>SALEM</t>
        </is>
      </c>
      <c r="G56" t="n">
        <v>1.5</v>
      </c>
      <c r="H56" t="n">
        <v>0</v>
      </c>
      <c r="I56" t="n">
        <v>0</v>
      </c>
      <c r="J56" t="n">
        <v>0</v>
      </c>
      <c r="K56" t="n">
        <v>0</v>
      </c>
      <c r="L56" t="n">
        <v>0</v>
      </c>
      <c r="M56" t="n">
        <v>0</v>
      </c>
      <c r="N56" t="n">
        <v>0</v>
      </c>
      <c r="O56" t="n">
        <v>0</v>
      </c>
      <c r="P56" t="n">
        <v>0</v>
      </c>
      <c r="Q56" t="n">
        <v>0</v>
      </c>
      <c r="R56" s="2" t="inlineStr"/>
    </row>
    <row r="57" ht="15" customHeight="1">
      <c r="A57" t="inlineStr">
        <is>
          <t>A 9533-2024</t>
        </is>
      </c>
      <c r="B57" s="1" t="n">
        <v>45359.69105324074</v>
      </c>
      <c r="C57" s="1" t="n">
        <v>45888</v>
      </c>
      <c r="D57" t="inlineStr">
        <is>
          <t>STOCKHOLMS LÄN</t>
        </is>
      </c>
      <c r="E57" t="inlineStr">
        <is>
          <t>SALEM</t>
        </is>
      </c>
      <c r="F57" t="inlineStr">
        <is>
          <t>Kommuner</t>
        </is>
      </c>
      <c r="G57" t="n">
        <v>2.6</v>
      </c>
      <c r="H57" t="n">
        <v>0</v>
      </c>
      <c r="I57" t="n">
        <v>0</v>
      </c>
      <c r="J57" t="n">
        <v>0</v>
      </c>
      <c r="K57" t="n">
        <v>0</v>
      </c>
      <c r="L57" t="n">
        <v>0</v>
      </c>
      <c r="M57" t="n">
        <v>0</v>
      </c>
      <c r="N57" t="n">
        <v>0</v>
      </c>
      <c r="O57" t="n">
        <v>0</v>
      </c>
      <c r="P57" t="n">
        <v>0</v>
      </c>
      <c r="Q57" t="n">
        <v>0</v>
      </c>
      <c r="R57" s="2" t="inlineStr"/>
    </row>
    <row r="58">
      <c r="A58" t="inlineStr">
        <is>
          <t>A 28843-2021</t>
        </is>
      </c>
      <c r="B58" s="1" t="n">
        <v>44357</v>
      </c>
      <c r="C58" s="1" t="n">
        <v>45888</v>
      </c>
      <c r="D58" t="inlineStr">
        <is>
          <t>STOCKHOLMS LÄN</t>
        </is>
      </c>
      <c r="E58" t="inlineStr">
        <is>
          <t>SALEM</t>
        </is>
      </c>
      <c r="G58" t="n">
        <v>1.3</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2025-08-19T08:27:38Z</dcterms:created>
  <dcterms:modified xmlns:dcterms="http://purl.org/dc/terms/" xmlns:xsi="http://www.w3.org/2001/XMLSchema-instance" xsi:type="dcterms:W3CDTF">2025-08-19T08:27:38Z</dcterms:modified>
</cp:coreProperties>
</file>