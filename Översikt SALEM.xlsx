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46195</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46195</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46195</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46195</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46195</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2992-2023</t>
        </is>
      </c>
      <c r="B7" s="1" t="n">
        <v>44945</v>
      </c>
      <c r="C7" s="1" t="n">
        <v>46195</v>
      </c>
      <c r="D7" t="inlineStr">
        <is>
          <t>STOCKHOLMS LÄN</t>
        </is>
      </c>
      <c r="E7" t="inlineStr">
        <is>
          <t>SALEM</t>
        </is>
      </c>
      <c r="F7" t="inlineStr">
        <is>
          <t>Kommuner</t>
        </is>
      </c>
      <c r="G7" t="n">
        <v>1.7</v>
      </c>
      <c r="H7" t="n">
        <v>0</v>
      </c>
      <c r="I7" t="n">
        <v>1</v>
      </c>
      <c r="J7" t="n">
        <v>2</v>
      </c>
      <c r="K7" t="n">
        <v>0</v>
      </c>
      <c r="L7" t="n">
        <v>0</v>
      </c>
      <c r="M7" t="n">
        <v>0</v>
      </c>
      <c r="N7" t="n">
        <v>0</v>
      </c>
      <c r="O7" t="n">
        <v>2</v>
      </c>
      <c r="P7" t="n">
        <v>0</v>
      </c>
      <c r="Q7" t="n">
        <v>3</v>
      </c>
      <c r="R7" s="2" t="inlineStr">
        <is>
          <t>Kandelabersvamp
Rynkskinn
Blåmossa</t>
        </is>
      </c>
      <c r="S7">
        <f>HYPERLINK("https://klasma.github.io/Logging_0128/artfynd/A 2992-2023 artfynd.xlsx", "A 2992-2023")</f>
        <v/>
      </c>
      <c r="T7">
        <f>HYPERLINK("https://klasma.github.io/Logging_0128/kartor/A 2992-2023 karta.png", "A 2992-2023")</f>
        <v/>
      </c>
      <c r="V7">
        <f>HYPERLINK("https://klasma.github.io/Logging_0128/klagomål/A 2992-2023 FSC-klagomål.docx", "A 2992-2023")</f>
        <v/>
      </c>
      <c r="W7">
        <f>HYPERLINK("https://klasma.github.io/Logging_0128/klagomålsmail/A 2992-2023 FSC-klagomål mail.docx", "A 2992-2023")</f>
        <v/>
      </c>
      <c r="X7">
        <f>HYPERLINK("https://klasma.github.io/Logging_0128/tillsyn/A 2992-2023 tillsynsbegäran.docx", "A 2992-2023")</f>
        <v/>
      </c>
      <c r="Y7">
        <f>HYPERLINK("https://klasma.github.io/Logging_0128/tillsynsmail/A 2992-2023 tillsynsbegäran mail.docx", "A 2992-2023")</f>
        <v/>
      </c>
    </row>
    <row r="8" ht="15" customHeight="1">
      <c r="A8" t="inlineStr">
        <is>
          <t>A 2990-2023</t>
        </is>
      </c>
      <c r="B8" s="1" t="n">
        <v>44945</v>
      </c>
      <c r="C8" s="1" t="n">
        <v>46195</v>
      </c>
      <c r="D8" t="inlineStr">
        <is>
          <t>STOCKHOLMS LÄN</t>
        </is>
      </c>
      <c r="E8" t="inlineStr">
        <is>
          <t>SALEM</t>
        </is>
      </c>
      <c r="F8" t="inlineStr">
        <is>
          <t>Kommuner</t>
        </is>
      </c>
      <c r="G8" t="n">
        <v>4.1</v>
      </c>
      <c r="H8" t="n">
        <v>2</v>
      </c>
      <c r="I8" t="n">
        <v>1</v>
      </c>
      <c r="J8" t="n">
        <v>0</v>
      </c>
      <c r="K8" t="n">
        <v>0</v>
      </c>
      <c r="L8" t="n">
        <v>0</v>
      </c>
      <c r="M8" t="n">
        <v>0</v>
      </c>
      <c r="N8" t="n">
        <v>0</v>
      </c>
      <c r="O8" t="n">
        <v>0</v>
      </c>
      <c r="P8" t="n">
        <v>0</v>
      </c>
      <c r="Q8" t="n">
        <v>3</v>
      </c>
      <c r="R8" s="2" t="inlineStr">
        <is>
          <t>Granbarkgnagare
Större vattensalamander
Mindre vattensalamander</t>
        </is>
      </c>
      <c r="S8">
        <f>HYPERLINK("https://klasma.github.io/Logging_0128/artfynd/A 2990-2023 artfynd.xlsx", "A 2990-2023")</f>
        <v/>
      </c>
      <c r="T8">
        <f>HYPERLINK("https://klasma.github.io/Logging_0128/kartor/A 2990-2023 karta.png", "A 2990-2023")</f>
        <v/>
      </c>
      <c r="V8">
        <f>HYPERLINK("https://klasma.github.io/Logging_0128/klagomål/A 2990-2023 FSC-klagomål.docx", "A 2990-2023")</f>
        <v/>
      </c>
      <c r="W8">
        <f>HYPERLINK("https://klasma.github.io/Logging_0128/klagomålsmail/A 2990-2023 FSC-klagomål mail.docx", "A 2990-2023")</f>
        <v/>
      </c>
      <c r="X8">
        <f>HYPERLINK("https://klasma.github.io/Logging_0128/tillsyn/A 2990-2023 tillsynsbegäran.docx", "A 2990-2023")</f>
        <v/>
      </c>
      <c r="Y8">
        <f>HYPERLINK("https://klasma.github.io/Logging_0128/tillsynsmail/A 2990-2023 tillsynsbegäran mail.docx", "A 2990-2023")</f>
        <v/>
      </c>
    </row>
    <row r="9" ht="15" customHeight="1">
      <c r="A9" t="inlineStr">
        <is>
          <t>A 32951-2025</t>
        </is>
      </c>
      <c r="B9" s="1" t="n">
        <v>45839</v>
      </c>
      <c r="C9" s="1" t="n">
        <v>46195</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46195</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46195</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9533-2024</t>
        </is>
      </c>
      <c r="B13" s="1" t="n">
        <v>45359</v>
      </c>
      <c r="C13" s="1" t="n">
        <v>46195</v>
      </c>
      <c r="D13" t="inlineStr">
        <is>
          <t>STOCKHOLMS LÄN</t>
        </is>
      </c>
      <c r="E13" t="inlineStr">
        <is>
          <t>SALEM</t>
        </is>
      </c>
      <c r="F13" t="inlineStr">
        <is>
          <t>Kommuner</t>
        </is>
      </c>
      <c r="G13" t="n">
        <v>2.6</v>
      </c>
      <c r="H13" t="n">
        <v>0</v>
      </c>
      <c r="I13" t="n">
        <v>0</v>
      </c>
      <c r="J13" t="n">
        <v>0</v>
      </c>
      <c r="K13" t="n">
        <v>0</v>
      </c>
      <c r="L13" t="n">
        <v>0</v>
      </c>
      <c r="M13" t="n">
        <v>0</v>
      </c>
      <c r="N13" t="n">
        <v>0</v>
      </c>
      <c r="O13" t="n">
        <v>0</v>
      </c>
      <c r="P13" t="n">
        <v>0</v>
      </c>
      <c r="Q13" t="n">
        <v>0</v>
      </c>
      <c r="R13" s="2" t="inlineStr"/>
    </row>
    <row r="14" ht="15" customHeight="1">
      <c r="A14" t="inlineStr">
        <is>
          <t>A 23992-2023</t>
        </is>
      </c>
      <c r="B14" s="1" t="n">
        <v>45078</v>
      </c>
      <c r="C14" s="1" t="n">
        <v>46195</v>
      </c>
      <c r="D14" t="inlineStr">
        <is>
          <t>STOCKHOLMS LÄN</t>
        </is>
      </c>
      <c r="E14" t="inlineStr">
        <is>
          <t>SALEM</t>
        </is>
      </c>
      <c r="F14" t="inlineStr">
        <is>
          <t>Kommuner</t>
        </is>
      </c>
      <c r="G14" t="n">
        <v>0.7</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46195</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46195</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33262-2021</t>
        </is>
      </c>
      <c r="B17" s="1" t="n">
        <v>44377</v>
      </c>
      <c r="C17" s="1" t="n">
        <v>46195</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46195</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46195</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46195</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46195</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46195</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46195</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46195</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46195</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46195</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46195</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46195</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46195</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46195</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46195</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46195</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46195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46195</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46195</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46195</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46195</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46195</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46195</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46195</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29982-2025</t>
        </is>
      </c>
      <c r="B41" s="1" t="n">
        <v>45826</v>
      </c>
      <c r="C41" s="1" t="n">
        <v>46195</v>
      </c>
      <c r="D41" t="inlineStr">
        <is>
          <t>STOCKHOLMS LÄN</t>
        </is>
      </c>
      <c r="E41" t="inlineStr">
        <is>
          <t>SALEM</t>
        </is>
      </c>
      <c r="G41" t="n">
        <v>1.5</v>
      </c>
      <c r="H41" t="n">
        <v>0</v>
      </c>
      <c r="I41" t="n">
        <v>0</v>
      </c>
      <c r="J41" t="n">
        <v>0</v>
      </c>
      <c r="K41" t="n">
        <v>0</v>
      </c>
      <c r="L41" t="n">
        <v>0</v>
      </c>
      <c r="M41" t="n">
        <v>0</v>
      </c>
      <c r="N41" t="n">
        <v>0</v>
      </c>
      <c r="O41" t="n">
        <v>0</v>
      </c>
      <c r="P41" t="n">
        <v>0</v>
      </c>
      <c r="Q41" t="n">
        <v>0</v>
      </c>
      <c r="R41" s="2" t="inlineStr"/>
    </row>
    <row r="42" ht="15" customHeight="1">
      <c r="A42" t="inlineStr">
        <is>
          <t>A 60733-2025</t>
        </is>
      </c>
      <c r="B42" s="1" t="n">
        <v>45995</v>
      </c>
      <c r="C42" s="1" t="n">
        <v>46195</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60731-2025</t>
        </is>
      </c>
      <c r="B43" s="1" t="n">
        <v>45995</v>
      </c>
      <c r="C43" s="1" t="n">
        <v>46195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46919-2023</t>
        </is>
      </c>
      <c r="B44" s="1" t="n">
        <v>45201</v>
      </c>
      <c r="C44" s="1" t="n">
        <v>46195</v>
      </c>
      <c r="D44" t="inlineStr">
        <is>
          <t>STOCKHOLMS LÄN</t>
        </is>
      </c>
      <c r="E44" t="inlineStr">
        <is>
          <t>SALEM</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51720-2023</t>
        </is>
      </c>
      <c r="B45" s="1" t="n">
        <v>45222</v>
      </c>
      <c r="C45" s="1" t="n">
        <v>46195</v>
      </c>
      <c r="D45" t="inlineStr">
        <is>
          <t>STOCKHOLMS LÄN</t>
        </is>
      </c>
      <c r="E45" t="inlineStr">
        <is>
          <t>SALEM</t>
        </is>
      </c>
      <c r="G45" t="n">
        <v>0.4</v>
      </c>
      <c r="H45" t="n">
        <v>0</v>
      </c>
      <c r="I45" t="n">
        <v>0</v>
      </c>
      <c r="J45" t="n">
        <v>0</v>
      </c>
      <c r="K45" t="n">
        <v>0</v>
      </c>
      <c r="L45" t="n">
        <v>0</v>
      </c>
      <c r="M45" t="n">
        <v>0</v>
      </c>
      <c r="N45" t="n">
        <v>0</v>
      </c>
      <c r="O45" t="n">
        <v>0</v>
      </c>
      <c r="P45" t="n">
        <v>0</v>
      </c>
      <c r="Q45" t="n">
        <v>0</v>
      </c>
      <c r="R45" s="2" t="inlineStr"/>
    </row>
    <row r="46" ht="15" customHeight="1">
      <c r="A46" t="inlineStr">
        <is>
          <t>A 504-2023</t>
        </is>
      </c>
      <c r="B46" s="1" t="n">
        <v>44930</v>
      </c>
      <c r="C46" s="1" t="n">
        <v>46195</v>
      </c>
      <c r="D46" t="inlineStr">
        <is>
          <t>STOCKHOLMS LÄN</t>
        </is>
      </c>
      <c r="E46" t="inlineStr">
        <is>
          <t>SALEM</t>
        </is>
      </c>
      <c r="F46" t="inlineStr">
        <is>
          <t>Kommuner</t>
        </is>
      </c>
      <c r="G46" t="n">
        <v>2</v>
      </c>
      <c r="H46" t="n">
        <v>0</v>
      </c>
      <c r="I46" t="n">
        <v>0</v>
      </c>
      <c r="J46" t="n">
        <v>0</v>
      </c>
      <c r="K46" t="n">
        <v>0</v>
      </c>
      <c r="L46" t="n">
        <v>0</v>
      </c>
      <c r="M46" t="n">
        <v>0</v>
      </c>
      <c r="N46" t="n">
        <v>0</v>
      </c>
      <c r="O46" t="n">
        <v>0</v>
      </c>
      <c r="P46" t="n">
        <v>0</v>
      </c>
      <c r="Q46" t="n">
        <v>0</v>
      </c>
      <c r="R46" s="2" t="inlineStr"/>
    </row>
    <row r="47" ht="15" customHeight="1">
      <c r="A47" t="inlineStr">
        <is>
          <t>A 33246-2021</t>
        </is>
      </c>
      <c r="B47" s="1" t="n">
        <v>44377</v>
      </c>
      <c r="C47" s="1" t="n">
        <v>46195</v>
      </c>
      <c r="D47" t="inlineStr">
        <is>
          <t>STOCKHOLMS LÄN</t>
        </is>
      </c>
      <c r="E47" t="inlineStr">
        <is>
          <t>SALEM</t>
        </is>
      </c>
      <c r="G47" t="n">
        <v>3.4</v>
      </c>
      <c r="H47" t="n">
        <v>0</v>
      </c>
      <c r="I47" t="n">
        <v>0</v>
      </c>
      <c r="J47" t="n">
        <v>0</v>
      </c>
      <c r="K47" t="n">
        <v>0</v>
      </c>
      <c r="L47" t="n">
        <v>0</v>
      </c>
      <c r="M47" t="n">
        <v>0</v>
      </c>
      <c r="N47" t="n">
        <v>0</v>
      </c>
      <c r="O47" t="n">
        <v>0</v>
      </c>
      <c r="P47" t="n">
        <v>0</v>
      </c>
      <c r="Q47" t="n">
        <v>0</v>
      </c>
      <c r="R47" s="2" t="inlineStr"/>
    </row>
    <row r="48">
      <c r="A48" t="inlineStr">
        <is>
          <t>A 33281-2025</t>
        </is>
      </c>
      <c r="B48" s="1" t="n">
        <v>45839</v>
      </c>
      <c r="C48" s="1" t="n">
        <v>46195</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2026-06-22T00:47:53Z</dcterms:created>
  <dcterms:modified xmlns:dcterms="http://purl.org/dc/terms/" xmlns:xsi="http://www.w3.org/2001/XMLSchema-instance" xsi:type="dcterms:W3CDTF">2026-06-22T00:47:53Z</dcterms:modified>
</cp:coreProperties>
</file>