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45914</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45914</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45914</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45914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45914</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45914</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45914</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45914</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2987-2023</t>
        </is>
      </c>
      <c r="B12" s="1" t="n">
        <v>44945</v>
      </c>
      <c r="C12" s="1" t="n">
        <v>45914</v>
      </c>
      <c r="D12" t="inlineStr">
        <is>
          <t>STOCKHOLMS LÄN</t>
        </is>
      </c>
      <c r="E12" t="inlineStr">
        <is>
          <t>SALEM</t>
        </is>
      </c>
      <c r="F12" t="inlineStr">
        <is>
          <t>Kommuner</t>
        </is>
      </c>
      <c r="G12" t="n">
        <v>6.2</v>
      </c>
      <c r="H12" t="n">
        <v>0</v>
      </c>
      <c r="I12" t="n">
        <v>0</v>
      </c>
      <c r="J12" t="n">
        <v>1</v>
      </c>
      <c r="K12" t="n">
        <v>0</v>
      </c>
      <c r="L12" t="n">
        <v>0</v>
      </c>
      <c r="M12" t="n">
        <v>0</v>
      </c>
      <c r="N12" t="n">
        <v>0</v>
      </c>
      <c r="O12" t="n">
        <v>1</v>
      </c>
      <c r="P12" t="n">
        <v>0</v>
      </c>
      <c r="Q12" t="n">
        <v>1</v>
      </c>
      <c r="R12" s="2" t="inlineStr">
        <is>
          <t>Tallticka</t>
        </is>
      </c>
      <c r="S12">
        <f>HYPERLINK("https://klasma.github.io/Logging_0128/artfynd/A 2987-2023 artfynd.xlsx", "A 2987-2023")</f>
        <v/>
      </c>
      <c r="T12">
        <f>HYPERLINK("https://klasma.github.io/Logging_0128/kartor/A 2987-2023 karta.png", "A 2987-2023")</f>
        <v/>
      </c>
      <c r="V12">
        <f>HYPERLINK("https://klasma.github.io/Logging_0128/klagomål/A 2987-2023 FSC-klagomål.docx", "A 2987-2023")</f>
        <v/>
      </c>
      <c r="W12">
        <f>HYPERLINK("https://klasma.github.io/Logging_0128/klagomålsmail/A 2987-2023 FSC-klagomål mail.docx", "A 2987-2023")</f>
        <v/>
      </c>
      <c r="X12">
        <f>HYPERLINK("https://klasma.github.io/Logging_0128/tillsyn/A 2987-2023 tillsynsbegäran.docx", "A 2987-2023")</f>
        <v/>
      </c>
      <c r="Y12">
        <f>HYPERLINK("https://klasma.github.io/Logging_0128/tillsynsmail/A 2987-2023 tillsynsbegäran mail.docx", "A 2987-2023")</f>
        <v/>
      </c>
    </row>
    <row r="13" ht="15" customHeight="1">
      <c r="A13" t="inlineStr">
        <is>
          <t>A 28838-2021</t>
        </is>
      </c>
      <c r="B13" s="1" t="n">
        <v>44357</v>
      </c>
      <c r="C13" s="1" t="n">
        <v>45914</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45914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45914</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45914</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45914</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45914</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51720-2023</t>
        </is>
      </c>
      <c r="B19" s="1" t="n">
        <v>45222</v>
      </c>
      <c r="C19" s="1" t="n">
        <v>45914</v>
      </c>
      <c r="D19" t="inlineStr">
        <is>
          <t>STOCKHOLMS LÄN</t>
        </is>
      </c>
      <c r="E19" t="inlineStr">
        <is>
          <t>SALEM</t>
        </is>
      </c>
      <c r="G19" t="n">
        <v>0.4</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45914</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45914</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45914</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33428-2025</t>
        </is>
      </c>
      <c r="B23" s="1" t="n">
        <v>45839</v>
      </c>
      <c r="C23" s="1" t="n">
        <v>45914</v>
      </c>
      <c r="D23" t="inlineStr">
        <is>
          <t>STOCKHOLMS LÄN</t>
        </is>
      </c>
      <c r="E23" t="inlineStr">
        <is>
          <t>SALEM</t>
        </is>
      </c>
      <c r="G23" t="n">
        <v>2.2</v>
      </c>
      <c r="H23" t="n">
        <v>0</v>
      </c>
      <c r="I23" t="n">
        <v>0</v>
      </c>
      <c r="J23" t="n">
        <v>0</v>
      </c>
      <c r="K23" t="n">
        <v>0</v>
      </c>
      <c r="L23" t="n">
        <v>0</v>
      </c>
      <c r="M23" t="n">
        <v>0</v>
      </c>
      <c r="N23" t="n">
        <v>0</v>
      </c>
      <c r="O23" t="n">
        <v>0</v>
      </c>
      <c r="P23" t="n">
        <v>0</v>
      </c>
      <c r="Q23" t="n">
        <v>0</v>
      </c>
      <c r="R23" s="2" t="inlineStr"/>
    </row>
    <row r="24" ht="15" customHeight="1">
      <c r="A24" t="inlineStr">
        <is>
          <t>A 32946-2025</t>
        </is>
      </c>
      <c r="B24" s="1" t="n">
        <v>45839</v>
      </c>
      <c r="C24" s="1" t="n">
        <v>45914</v>
      </c>
      <c r="D24" t="inlineStr">
        <is>
          <t>STOCKHOLMS LÄN</t>
        </is>
      </c>
      <c r="E24" t="inlineStr">
        <is>
          <t>SALEM</t>
        </is>
      </c>
      <c r="G24" t="n">
        <v>1.6</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45914</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45914</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45914</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45914</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33446-2025</t>
        </is>
      </c>
      <c r="B29" s="1" t="n">
        <v>45839</v>
      </c>
      <c r="C29" s="1" t="n">
        <v>45914</v>
      </c>
      <c r="D29" t="inlineStr">
        <is>
          <t>STOCKHOLMS LÄN</t>
        </is>
      </c>
      <c r="E29" t="inlineStr">
        <is>
          <t>SALEM</t>
        </is>
      </c>
      <c r="G29" t="n">
        <v>9.4</v>
      </c>
      <c r="H29" t="n">
        <v>0</v>
      </c>
      <c r="I29" t="n">
        <v>0</v>
      </c>
      <c r="J29" t="n">
        <v>0</v>
      </c>
      <c r="K29" t="n">
        <v>0</v>
      </c>
      <c r="L29" t="n">
        <v>0</v>
      </c>
      <c r="M29" t="n">
        <v>0</v>
      </c>
      <c r="N29" t="n">
        <v>0</v>
      </c>
      <c r="O29" t="n">
        <v>0</v>
      </c>
      <c r="P29" t="n">
        <v>0</v>
      </c>
      <c r="Q29" t="n">
        <v>0</v>
      </c>
      <c r="R29" s="2" t="inlineStr"/>
    </row>
    <row r="30" ht="15" customHeight="1">
      <c r="A30" t="inlineStr">
        <is>
          <t>A 33421-2025</t>
        </is>
      </c>
      <c r="B30" s="1" t="n">
        <v>45839</v>
      </c>
      <c r="C30" s="1" t="n">
        <v>45914</v>
      </c>
      <c r="D30" t="inlineStr">
        <is>
          <t>STOCKHOLMS LÄN</t>
        </is>
      </c>
      <c r="E30" t="inlineStr">
        <is>
          <t>SALEM</t>
        </is>
      </c>
      <c r="G30" t="n">
        <v>1</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45914</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45914</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45914</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45914</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45914</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45914</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45914</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32962-2025</t>
        </is>
      </c>
      <c r="B38" s="1" t="n">
        <v>45839</v>
      </c>
      <c r="C38" s="1" t="n">
        <v>45914</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32942-2025</t>
        </is>
      </c>
      <c r="B39" s="1" t="n">
        <v>45839</v>
      </c>
      <c r="C39" s="1" t="n">
        <v>45914</v>
      </c>
      <c r="D39" t="inlineStr">
        <is>
          <t>STOCKHOLMS LÄN</t>
        </is>
      </c>
      <c r="E39" t="inlineStr">
        <is>
          <t>SALEM</t>
        </is>
      </c>
      <c r="G39" t="n">
        <v>1.4</v>
      </c>
      <c r="H39" t="n">
        <v>0</v>
      </c>
      <c r="I39" t="n">
        <v>0</v>
      </c>
      <c r="J39" t="n">
        <v>0</v>
      </c>
      <c r="K39" t="n">
        <v>0</v>
      </c>
      <c r="L39" t="n">
        <v>0</v>
      </c>
      <c r="M39" t="n">
        <v>0</v>
      </c>
      <c r="N39" t="n">
        <v>0</v>
      </c>
      <c r="O39" t="n">
        <v>0</v>
      </c>
      <c r="P39" t="n">
        <v>0</v>
      </c>
      <c r="Q39" t="n">
        <v>0</v>
      </c>
      <c r="R39" s="2" t="inlineStr"/>
    </row>
    <row r="40" ht="15" customHeight="1">
      <c r="A40" t="inlineStr">
        <is>
          <t>A 32965-2025</t>
        </is>
      </c>
      <c r="B40" s="1" t="n">
        <v>45839</v>
      </c>
      <c r="C40" s="1" t="n">
        <v>45914</v>
      </c>
      <c r="D40" t="inlineStr">
        <is>
          <t>STOCKHOLMS LÄN</t>
        </is>
      </c>
      <c r="E40" t="inlineStr">
        <is>
          <t>SALEM</t>
        </is>
      </c>
      <c r="G40" t="n">
        <v>2.8</v>
      </c>
      <c r="H40" t="n">
        <v>0</v>
      </c>
      <c r="I40" t="n">
        <v>0</v>
      </c>
      <c r="J40" t="n">
        <v>0</v>
      </c>
      <c r="K40" t="n">
        <v>0</v>
      </c>
      <c r="L40" t="n">
        <v>0</v>
      </c>
      <c r="M40" t="n">
        <v>0</v>
      </c>
      <c r="N40" t="n">
        <v>0</v>
      </c>
      <c r="O40" t="n">
        <v>0</v>
      </c>
      <c r="P40" t="n">
        <v>0</v>
      </c>
      <c r="Q40" t="n">
        <v>0</v>
      </c>
      <c r="R40" s="2" t="inlineStr"/>
    </row>
    <row r="41" ht="15" customHeight="1">
      <c r="A41" t="inlineStr">
        <is>
          <t>A 32970-2025</t>
        </is>
      </c>
      <c r="B41" s="1" t="n">
        <v>45839</v>
      </c>
      <c r="C41" s="1" t="n">
        <v>45914</v>
      </c>
      <c r="D41" t="inlineStr">
        <is>
          <t>STOCKHOLMS LÄN</t>
        </is>
      </c>
      <c r="E41" t="inlineStr">
        <is>
          <t>SALEM</t>
        </is>
      </c>
      <c r="G41" t="n">
        <v>10.5</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45914</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45914</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45914</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45914</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32953-2025</t>
        </is>
      </c>
      <c r="B46" s="1" t="n">
        <v>45839</v>
      </c>
      <c r="C46" s="1" t="n">
        <v>45914</v>
      </c>
      <c r="D46" t="inlineStr">
        <is>
          <t>STOCKHOLMS LÄN</t>
        </is>
      </c>
      <c r="E46" t="inlineStr">
        <is>
          <t>SALEM</t>
        </is>
      </c>
      <c r="G46" t="n">
        <v>2.4</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45914</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45914</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45914</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45914</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33246-2021</t>
        </is>
      </c>
      <c r="B51" s="1" t="n">
        <v>44377</v>
      </c>
      <c r="C51" s="1" t="n">
        <v>45914</v>
      </c>
      <c r="D51" t="inlineStr">
        <is>
          <t>STOCKHOLMS LÄN</t>
        </is>
      </c>
      <c r="E51" t="inlineStr">
        <is>
          <t>SALEM</t>
        </is>
      </c>
      <c r="G51" t="n">
        <v>3.4</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45914</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45914</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23992-2023</t>
        </is>
      </c>
      <c r="B54" s="1" t="n">
        <v>45078</v>
      </c>
      <c r="C54" s="1" t="n">
        <v>45914</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row r="55">
      <c r="A55" t="inlineStr">
        <is>
          <t>A 1071-2023</t>
        </is>
      </c>
      <c r="B55" s="1" t="n">
        <v>44935</v>
      </c>
      <c r="C55" s="1" t="n">
        <v>45914</v>
      </c>
      <c r="D55" t="inlineStr">
        <is>
          <t>STOCKHOLMS LÄN</t>
        </is>
      </c>
      <c r="E55" t="inlineStr">
        <is>
          <t>SALEM</t>
        </is>
      </c>
      <c r="F55" t="inlineStr">
        <is>
          <t>Kommuner</t>
        </is>
      </c>
      <c r="G55" t="n">
        <v>5.1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2025-09-14T13:22:52Z</dcterms:created>
  <dcterms:modified xmlns:dcterms="http://purl.org/dc/terms/" xmlns:xsi="http://www.w3.org/2001/XMLSchema-instance" xsi:type="dcterms:W3CDTF">2025-09-14T13:22:52Z</dcterms:modified>
</cp:coreProperties>
</file>