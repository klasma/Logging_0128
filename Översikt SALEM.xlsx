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46198</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46198</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46198</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46198</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46198</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46198</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46198</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46198</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46198</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33473-2025</t>
        </is>
      </c>
      <c r="B11" s="1" t="n">
        <v>45839</v>
      </c>
      <c r="C11" s="1" t="n">
        <v>46198</v>
      </c>
      <c r="D11" t="inlineStr">
        <is>
          <t>STOCKHOLMS LÄN</t>
        </is>
      </c>
      <c r="E11" t="inlineStr">
        <is>
          <t>SALEM</t>
        </is>
      </c>
      <c r="G11" t="n">
        <v>5.7</v>
      </c>
      <c r="H11" t="n">
        <v>0</v>
      </c>
      <c r="I11" t="n">
        <v>0</v>
      </c>
      <c r="J11" t="n">
        <v>0</v>
      </c>
      <c r="K11" t="n">
        <v>1</v>
      </c>
      <c r="L11" t="n">
        <v>0</v>
      </c>
      <c r="M11" t="n">
        <v>0</v>
      </c>
      <c r="N11" t="n">
        <v>0</v>
      </c>
      <c r="O11" t="n">
        <v>1</v>
      </c>
      <c r="P11" t="n">
        <v>1</v>
      </c>
      <c r="Q11" t="n">
        <v>1</v>
      </c>
      <c r="R11" s="2" t="inlineStr">
        <is>
          <t>Igelkott</t>
        </is>
      </c>
      <c r="S11">
        <f>HYPERLINK("https://klasma.github.io/Logging_0128/artfynd/A 33473-2025 artfynd.xlsx", "A 33473-2025")</f>
        <v/>
      </c>
      <c r="T11">
        <f>HYPERLINK("https://klasma.github.io/Logging_0128/kartor/A 33473-2025 karta.png", "A 33473-2025")</f>
        <v/>
      </c>
      <c r="V11">
        <f>HYPERLINK("https://klasma.github.io/Logging_0128/klagomål/A 33473-2025 FSC-klagomål.docx", "A 33473-2025")</f>
        <v/>
      </c>
      <c r="W11">
        <f>HYPERLINK("https://klasma.github.io/Logging_0128/klagomålsmail/A 33473-2025 FSC-klagomål mail.docx", "A 33473-2025")</f>
        <v/>
      </c>
      <c r="X11">
        <f>HYPERLINK("https://klasma.github.io/Logging_0128/tillsyn/A 33473-2025 tillsynsbegäran.docx", "A 33473-2025")</f>
        <v/>
      </c>
      <c r="Y11">
        <f>HYPERLINK("https://klasma.github.io/Logging_0128/tillsynsmail/A 33473-2025 tillsynsbegäran mail.docx", "A 33473-2025")</f>
        <v/>
      </c>
    </row>
    <row r="12" ht="15" customHeight="1">
      <c r="A12" t="inlineStr">
        <is>
          <t>A 43893-2021</t>
        </is>
      </c>
      <c r="B12" s="1" t="n">
        <v>44434</v>
      </c>
      <c r="C12" s="1" t="n">
        <v>46198</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33262-2021</t>
        </is>
      </c>
      <c r="B13" s="1" t="n">
        <v>44377</v>
      </c>
      <c r="C13" s="1" t="n">
        <v>46198</v>
      </c>
      <c r="D13" t="inlineStr">
        <is>
          <t>STOCKHOLMS LÄN</t>
        </is>
      </c>
      <c r="E13" t="inlineStr">
        <is>
          <t>SALEM</t>
        </is>
      </c>
      <c r="G13" t="n">
        <v>0.7</v>
      </c>
      <c r="H13" t="n">
        <v>0</v>
      </c>
      <c r="I13" t="n">
        <v>0</v>
      </c>
      <c r="J13" t="n">
        <v>0</v>
      </c>
      <c r="K13" t="n">
        <v>0</v>
      </c>
      <c r="L13" t="n">
        <v>0</v>
      </c>
      <c r="M13" t="n">
        <v>0</v>
      </c>
      <c r="N13" t="n">
        <v>0</v>
      </c>
      <c r="O13" t="n">
        <v>0</v>
      </c>
      <c r="P13" t="n">
        <v>0</v>
      </c>
      <c r="Q13" t="n">
        <v>0</v>
      </c>
      <c r="R13" s="2" t="inlineStr"/>
    </row>
    <row r="14" ht="15" customHeight="1">
      <c r="A14" t="inlineStr">
        <is>
          <t>A 1071-2023</t>
        </is>
      </c>
      <c r="B14" s="1" t="n">
        <v>44935</v>
      </c>
      <c r="C14" s="1" t="n">
        <v>46198</v>
      </c>
      <c r="D14" t="inlineStr">
        <is>
          <t>STOCKHOLMS LÄN</t>
        </is>
      </c>
      <c r="E14" t="inlineStr">
        <is>
          <t>SALEM</t>
        </is>
      </c>
      <c r="F14" t="inlineStr">
        <is>
          <t>Kommuner</t>
        </is>
      </c>
      <c r="G14" t="n">
        <v>5.1</v>
      </c>
      <c r="H14" t="n">
        <v>0</v>
      </c>
      <c r="I14" t="n">
        <v>0</v>
      </c>
      <c r="J14" t="n">
        <v>0</v>
      </c>
      <c r="K14" t="n">
        <v>0</v>
      </c>
      <c r="L14" t="n">
        <v>0</v>
      </c>
      <c r="M14" t="n">
        <v>0</v>
      </c>
      <c r="N14" t="n">
        <v>0</v>
      </c>
      <c r="O14" t="n">
        <v>0</v>
      </c>
      <c r="P14" t="n">
        <v>0</v>
      </c>
      <c r="Q14" t="n">
        <v>0</v>
      </c>
      <c r="R14" s="2" t="inlineStr"/>
    </row>
    <row r="15" ht="15" customHeight="1">
      <c r="A15" t="inlineStr">
        <is>
          <t>A 33281-2025</t>
        </is>
      </c>
      <c r="B15" s="1" t="n">
        <v>45839</v>
      </c>
      <c r="C15" s="1" t="n">
        <v>46198</v>
      </c>
      <c r="D15" t="inlineStr">
        <is>
          <t>STOCKHOLMS LÄN</t>
        </is>
      </c>
      <c r="E15" t="inlineStr">
        <is>
          <t>SALEM</t>
        </is>
      </c>
      <c r="G15" t="n">
        <v>2.6</v>
      </c>
      <c r="H15" t="n">
        <v>0</v>
      </c>
      <c r="I15" t="n">
        <v>0</v>
      </c>
      <c r="J15" t="n">
        <v>0</v>
      </c>
      <c r="K15" t="n">
        <v>0</v>
      </c>
      <c r="L15" t="n">
        <v>0</v>
      </c>
      <c r="M15" t="n">
        <v>0</v>
      </c>
      <c r="N15" t="n">
        <v>0</v>
      </c>
      <c r="O15" t="n">
        <v>0</v>
      </c>
      <c r="P15" t="n">
        <v>0</v>
      </c>
      <c r="Q15" t="n">
        <v>0</v>
      </c>
      <c r="R15" s="2" t="inlineStr"/>
    </row>
    <row r="16" ht="15" customHeight="1">
      <c r="A16" t="inlineStr">
        <is>
          <t>A 60731-2025</t>
        </is>
      </c>
      <c r="B16" s="1" t="n">
        <v>45995</v>
      </c>
      <c r="C16" s="1" t="n">
        <v>46198</v>
      </c>
      <c r="D16" t="inlineStr">
        <is>
          <t>STOCKHOLMS LÄN</t>
        </is>
      </c>
      <c r="E16" t="inlineStr">
        <is>
          <t>SALEM</t>
        </is>
      </c>
      <c r="G16" t="n">
        <v>0.8</v>
      </c>
      <c r="H16" t="n">
        <v>0</v>
      </c>
      <c r="I16" t="n">
        <v>0</v>
      </c>
      <c r="J16" t="n">
        <v>0</v>
      </c>
      <c r="K16" t="n">
        <v>0</v>
      </c>
      <c r="L16" t="n">
        <v>0</v>
      </c>
      <c r="M16" t="n">
        <v>0</v>
      </c>
      <c r="N16" t="n">
        <v>0</v>
      </c>
      <c r="O16" t="n">
        <v>0</v>
      </c>
      <c r="P16" t="n">
        <v>0</v>
      </c>
      <c r="Q16" t="n">
        <v>0</v>
      </c>
      <c r="R16" s="2" t="inlineStr"/>
    </row>
    <row r="17" ht="15" customHeight="1">
      <c r="A17" t="inlineStr">
        <is>
          <t>A 60733-2025</t>
        </is>
      </c>
      <c r="B17" s="1" t="n">
        <v>45995</v>
      </c>
      <c r="C17" s="1" t="n">
        <v>46198</v>
      </c>
      <c r="D17" t="inlineStr">
        <is>
          <t>STOCKHOLMS LÄN</t>
        </is>
      </c>
      <c r="E17" t="inlineStr">
        <is>
          <t>SALEM</t>
        </is>
      </c>
      <c r="G17" t="n">
        <v>1.7</v>
      </c>
      <c r="H17" t="n">
        <v>0</v>
      </c>
      <c r="I17" t="n">
        <v>0</v>
      </c>
      <c r="J17" t="n">
        <v>0</v>
      </c>
      <c r="K17" t="n">
        <v>0</v>
      </c>
      <c r="L17" t="n">
        <v>0</v>
      </c>
      <c r="M17" t="n">
        <v>0</v>
      </c>
      <c r="N17" t="n">
        <v>0</v>
      </c>
      <c r="O17" t="n">
        <v>0</v>
      </c>
      <c r="P17" t="n">
        <v>0</v>
      </c>
      <c r="Q17" t="n">
        <v>0</v>
      </c>
      <c r="R17" s="2" t="inlineStr"/>
    </row>
    <row r="18" ht="15" customHeight="1">
      <c r="A18" t="inlineStr">
        <is>
          <t>A 33246-2021</t>
        </is>
      </c>
      <c r="B18" s="1" t="n">
        <v>44377</v>
      </c>
      <c r="C18" s="1" t="n">
        <v>46198</v>
      </c>
      <c r="D18" t="inlineStr">
        <is>
          <t>STOCKHOLMS LÄN</t>
        </is>
      </c>
      <c r="E18" t="inlineStr">
        <is>
          <t>SALEM</t>
        </is>
      </c>
      <c r="G18" t="n">
        <v>3.4</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46198</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504-2023</t>
        </is>
      </c>
      <c r="B20" s="1" t="n">
        <v>44930</v>
      </c>
      <c r="C20" s="1" t="n">
        <v>46198</v>
      </c>
      <c r="D20" t="inlineStr">
        <is>
          <t>STOCKHOLMS LÄN</t>
        </is>
      </c>
      <c r="E20" t="inlineStr">
        <is>
          <t>SALEM</t>
        </is>
      </c>
      <c r="F20" t="inlineStr">
        <is>
          <t>Kommuner</t>
        </is>
      </c>
      <c r="G20" t="n">
        <v>2</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46198</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61336-2022</t>
        </is>
      </c>
      <c r="B22" s="1" t="n">
        <v>44915</v>
      </c>
      <c r="C22" s="1" t="n">
        <v>46198</v>
      </c>
      <c r="D22" t="inlineStr">
        <is>
          <t>STOCKHOLMS LÄN</t>
        </is>
      </c>
      <c r="E22" t="inlineStr">
        <is>
          <t>SALEM</t>
        </is>
      </c>
      <c r="F22" t="inlineStr">
        <is>
          <t>Kommuner</t>
        </is>
      </c>
      <c r="G22" t="n">
        <v>5.6</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46198</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9533-2024</t>
        </is>
      </c>
      <c r="B24" s="1" t="n">
        <v>45359</v>
      </c>
      <c r="C24" s="1" t="n">
        <v>46198</v>
      </c>
      <c r="D24" t="inlineStr">
        <is>
          <t>STOCKHOLMS LÄN</t>
        </is>
      </c>
      <c r="E24" t="inlineStr">
        <is>
          <t>SALEM</t>
        </is>
      </c>
      <c r="F24" t="inlineStr">
        <is>
          <t>Kommuner</t>
        </is>
      </c>
      <c r="G24" t="n">
        <v>2.6</v>
      </c>
      <c r="H24" t="n">
        <v>0</v>
      </c>
      <c r="I24" t="n">
        <v>0</v>
      </c>
      <c r="J24" t="n">
        <v>0</v>
      </c>
      <c r="K24" t="n">
        <v>0</v>
      </c>
      <c r="L24" t="n">
        <v>0</v>
      </c>
      <c r="M24" t="n">
        <v>0</v>
      </c>
      <c r="N24" t="n">
        <v>0</v>
      </c>
      <c r="O24" t="n">
        <v>0</v>
      </c>
      <c r="P24" t="n">
        <v>0</v>
      </c>
      <c r="Q24" t="n">
        <v>0</v>
      </c>
      <c r="R24" s="2" t="inlineStr"/>
    </row>
    <row r="25" ht="15" customHeight="1">
      <c r="A25" t="inlineStr">
        <is>
          <t>A 51720-2023</t>
        </is>
      </c>
      <c r="B25" s="1" t="n">
        <v>45222</v>
      </c>
      <c r="C25" s="1" t="n">
        <v>46198</v>
      </c>
      <c r="D25" t="inlineStr">
        <is>
          <t>STOCKHOLMS LÄN</t>
        </is>
      </c>
      <c r="E25" t="inlineStr">
        <is>
          <t>SALEM</t>
        </is>
      </c>
      <c r="G25" t="n">
        <v>0.4</v>
      </c>
      <c r="H25" t="n">
        <v>0</v>
      </c>
      <c r="I25" t="n">
        <v>0</v>
      </c>
      <c r="J25" t="n">
        <v>0</v>
      </c>
      <c r="K25" t="n">
        <v>0</v>
      </c>
      <c r="L25" t="n">
        <v>0</v>
      </c>
      <c r="M25" t="n">
        <v>0</v>
      </c>
      <c r="N25" t="n">
        <v>0</v>
      </c>
      <c r="O25" t="n">
        <v>0</v>
      </c>
      <c r="P25" t="n">
        <v>0</v>
      </c>
      <c r="Q25" t="n">
        <v>0</v>
      </c>
      <c r="R25" s="2" t="inlineStr"/>
    </row>
    <row r="26" ht="15" customHeight="1">
      <c r="A26" t="inlineStr">
        <is>
          <t>A 32962-2025</t>
        </is>
      </c>
      <c r="B26" s="1" t="n">
        <v>45839</v>
      </c>
      <c r="C26" s="1" t="n">
        <v>46198</v>
      </c>
      <c r="D26" t="inlineStr">
        <is>
          <t>STOCKHOLMS LÄN</t>
        </is>
      </c>
      <c r="E26" t="inlineStr">
        <is>
          <t>SALEM</t>
        </is>
      </c>
      <c r="G26" t="n">
        <v>0.8</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46198</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46198</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46198</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46198</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33277-2025</t>
        </is>
      </c>
      <c r="B31" s="1" t="n">
        <v>45839</v>
      </c>
      <c r="C31" s="1" t="n">
        <v>46198</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46198</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46198</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46198</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46198</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46198</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46198</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32953-2025</t>
        </is>
      </c>
      <c r="B38" s="1" t="n">
        <v>45839</v>
      </c>
      <c r="C38" s="1" t="n">
        <v>46198</v>
      </c>
      <c r="D38" t="inlineStr">
        <is>
          <t>STOCKHOLMS LÄN</t>
        </is>
      </c>
      <c r="E38" t="inlineStr">
        <is>
          <t>SALEM</t>
        </is>
      </c>
      <c r="G38" t="n">
        <v>2.4</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46198</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33441-2025</t>
        </is>
      </c>
      <c r="B40" s="1" t="n">
        <v>45839</v>
      </c>
      <c r="C40" s="1" t="n">
        <v>46198</v>
      </c>
      <c r="D40" t="inlineStr">
        <is>
          <t>STOCKHOLMS LÄN</t>
        </is>
      </c>
      <c r="E40" t="inlineStr">
        <is>
          <t>SALEM</t>
        </is>
      </c>
      <c r="G40" t="n">
        <v>1.7</v>
      </c>
      <c r="H40" t="n">
        <v>0</v>
      </c>
      <c r="I40" t="n">
        <v>0</v>
      </c>
      <c r="J40" t="n">
        <v>0</v>
      </c>
      <c r="K40" t="n">
        <v>0</v>
      </c>
      <c r="L40" t="n">
        <v>0</v>
      </c>
      <c r="M40" t="n">
        <v>0</v>
      </c>
      <c r="N40" t="n">
        <v>0</v>
      </c>
      <c r="O40" t="n">
        <v>0</v>
      </c>
      <c r="P40" t="n">
        <v>0</v>
      </c>
      <c r="Q40" t="n">
        <v>0</v>
      </c>
      <c r="R40" s="2" t="inlineStr"/>
    </row>
    <row r="41" ht="15" customHeight="1">
      <c r="A41" t="inlineStr">
        <is>
          <t>A 33428-2025</t>
        </is>
      </c>
      <c r="B41" s="1" t="n">
        <v>45839</v>
      </c>
      <c r="C41" s="1" t="n">
        <v>46198</v>
      </c>
      <c r="D41" t="inlineStr">
        <is>
          <t>STOCKHOLMS LÄN</t>
        </is>
      </c>
      <c r="E41" t="inlineStr">
        <is>
          <t>SALEM</t>
        </is>
      </c>
      <c r="G41" t="n">
        <v>2.2</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46198</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33460-2025</t>
        </is>
      </c>
      <c r="B43" s="1" t="n">
        <v>45839</v>
      </c>
      <c r="C43" s="1" t="n">
        <v>46198</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33465-2025</t>
        </is>
      </c>
      <c r="B44" s="1" t="n">
        <v>45839</v>
      </c>
      <c r="C44" s="1" t="n">
        <v>46198</v>
      </c>
      <c r="D44" t="inlineStr">
        <is>
          <t>STOCKHOLMS LÄN</t>
        </is>
      </c>
      <c r="E44" t="inlineStr">
        <is>
          <t>SALEM</t>
        </is>
      </c>
      <c r="G44" t="n">
        <v>1.6</v>
      </c>
      <c r="H44" t="n">
        <v>0</v>
      </c>
      <c r="I44" t="n">
        <v>0</v>
      </c>
      <c r="J44" t="n">
        <v>0</v>
      </c>
      <c r="K44" t="n">
        <v>0</v>
      </c>
      <c r="L44" t="n">
        <v>0</v>
      </c>
      <c r="M44" t="n">
        <v>0</v>
      </c>
      <c r="N44" t="n">
        <v>0</v>
      </c>
      <c r="O44" t="n">
        <v>0</v>
      </c>
      <c r="P44" t="n">
        <v>0</v>
      </c>
      <c r="Q44" t="n">
        <v>0</v>
      </c>
      <c r="R44" s="2" t="inlineStr"/>
    </row>
    <row r="45" ht="15" customHeight="1">
      <c r="A45" t="inlineStr">
        <is>
          <t>A 32946-2025</t>
        </is>
      </c>
      <c r="B45" s="1" t="n">
        <v>45839</v>
      </c>
      <c r="C45" s="1" t="n">
        <v>46198</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33421-2025</t>
        </is>
      </c>
      <c r="B46" s="1" t="n">
        <v>45839</v>
      </c>
      <c r="C46" s="1" t="n">
        <v>46198</v>
      </c>
      <c r="D46" t="inlineStr">
        <is>
          <t>STOCKHOLMS LÄN</t>
        </is>
      </c>
      <c r="E46" t="inlineStr">
        <is>
          <t>SALEM</t>
        </is>
      </c>
      <c r="G46" t="n">
        <v>1</v>
      </c>
      <c r="H46" t="n">
        <v>0</v>
      </c>
      <c r="I46" t="n">
        <v>0</v>
      </c>
      <c r="J46" t="n">
        <v>0</v>
      </c>
      <c r="K46" t="n">
        <v>0</v>
      </c>
      <c r="L46" t="n">
        <v>0</v>
      </c>
      <c r="M46" t="n">
        <v>0</v>
      </c>
      <c r="N46" t="n">
        <v>0</v>
      </c>
      <c r="O46" t="n">
        <v>0</v>
      </c>
      <c r="P46" t="n">
        <v>0</v>
      </c>
      <c r="Q46" t="n">
        <v>0</v>
      </c>
      <c r="R46" s="2" t="inlineStr"/>
    </row>
    <row r="47" ht="15" customHeight="1">
      <c r="A47" t="inlineStr">
        <is>
          <t>A 33446-2025</t>
        </is>
      </c>
      <c r="B47" s="1" t="n">
        <v>45839</v>
      </c>
      <c r="C47" s="1" t="n">
        <v>46198</v>
      </c>
      <c r="D47" t="inlineStr">
        <is>
          <t>STOCKHOLMS LÄN</t>
        </is>
      </c>
      <c r="E47" t="inlineStr">
        <is>
          <t>SALEM</t>
        </is>
      </c>
      <c r="G47" t="n">
        <v>9.4</v>
      </c>
      <c r="H47" t="n">
        <v>0</v>
      </c>
      <c r="I47" t="n">
        <v>0</v>
      </c>
      <c r="J47" t="n">
        <v>0</v>
      </c>
      <c r="K47" t="n">
        <v>0</v>
      </c>
      <c r="L47" t="n">
        <v>0</v>
      </c>
      <c r="M47" t="n">
        <v>0</v>
      </c>
      <c r="N47" t="n">
        <v>0</v>
      </c>
      <c r="O47" t="n">
        <v>0</v>
      </c>
      <c r="P47" t="n">
        <v>0</v>
      </c>
      <c r="Q47" t="n">
        <v>0</v>
      </c>
      <c r="R47" s="2" t="inlineStr"/>
    </row>
    <row r="48">
      <c r="A48" t="inlineStr">
        <is>
          <t>A 29982-2025</t>
        </is>
      </c>
      <c r="B48" s="1" t="n">
        <v>45826</v>
      </c>
      <c r="C48" s="1" t="n">
        <v>46198</v>
      </c>
      <c r="D48" t="inlineStr">
        <is>
          <t>STOCKHOLMS LÄN</t>
        </is>
      </c>
      <c r="E48" t="inlineStr">
        <is>
          <t>SALEM</t>
        </is>
      </c>
      <c r="G48" t="n">
        <v>1.5</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2026-06-25T00:46:31Z</dcterms:created>
  <dcterms:modified xmlns:dcterms="http://purl.org/dc/terms/" xmlns:xsi="http://www.w3.org/2001/XMLSchema-instance" xsi:type="dcterms:W3CDTF">2026-06-25T00:46:31Z</dcterms:modified>
</cp:coreProperties>
</file>