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46312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46312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46312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46312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46312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46312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46312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46919-2023</t>
        </is>
      </c>
      <c r="B9" t="inlineStr">
        <is>
          <t>avverkningsanmälan</t>
        </is>
      </c>
      <c r="C9" t="inlineStr">
        <is>
          <t>Föryngringsavverkning</t>
        </is>
      </c>
      <c r="D9" s="1" t="n">
        <v>45201</v>
      </c>
      <c r="E9" s="1" t="n">
        <v>46312</v>
      </c>
      <c r="F9" t="inlineStr">
        <is>
          <t>STOCKHOLMS LÄN</t>
        </is>
      </c>
      <c r="G9" t="inlineStr">
        <is>
          <t>SALEM</t>
        </is>
      </c>
      <c r="H9" t="inlineStr">
        <is>
          <t>Kommuner</t>
        </is>
      </c>
      <c r="I9" t="n">
        <v>1.3</v>
      </c>
      <c r="J9" t="n">
        <v>2</v>
      </c>
      <c r="K9" t="n">
        <v>0</v>
      </c>
      <c r="L9" t="n">
        <v>1</v>
      </c>
      <c r="M9" t="n">
        <v>0</v>
      </c>
      <c r="N9" t="n">
        <v>0</v>
      </c>
      <c r="O9" t="n">
        <v>0</v>
      </c>
      <c r="P9" t="n">
        <v>0</v>
      </c>
      <c r="Q9" t="n">
        <v>1</v>
      </c>
      <c r="R9" t="n">
        <v>0</v>
      </c>
      <c r="S9" t="n">
        <v>2</v>
      </c>
      <c r="T9" t="n">
        <v>2</v>
      </c>
      <c r="U9" t="n">
        <v>2</v>
      </c>
      <c r="V9" s="2" t="inlineStr">
        <is>
          <t>Talltita
Tofsmes</t>
        </is>
      </c>
      <c r="W9">
        <f>HYPERLINK("https://klasma.github.io/Logging_0128/artfynd/A 46919-2023 artfynd.xlsx", "A 46919-2023")</f>
        <v/>
      </c>
      <c r="X9">
        <f>HYPERLINK("https://klasma.github.io/Logging_0128/kartor/A 46919-2023 karta.png", "A 46919-2023")</f>
        <v/>
      </c>
      <c r="Y9">
        <f>HYPERLINK("https://klasma.github.io/Logging_0128/kartor_geotiff/A 46919-2023 georefererad karta.tif", "A 46919-2023")</f>
        <v/>
      </c>
      <c r="AA9">
        <f>HYPERLINK("https://klasma.github.io/Logging_0128/klagomål/A 46919-2023 FSC-klagomål.docx", "A 46919-2023")</f>
        <v/>
      </c>
      <c r="AB9">
        <f>HYPERLINK("https://klasma.github.io/Logging_0128/klagomålsmail/A 46919-2023 FSC-klagomål mail.docx", "A 46919-2023")</f>
        <v/>
      </c>
      <c r="AC9">
        <f>HYPERLINK("https://klasma.github.io/Logging_0128/tillsyn/A 46919-2023 tillsynsbegäran.docx", "A 46919-2023")</f>
        <v/>
      </c>
      <c r="AD9">
        <f>HYPERLINK("https://klasma.github.io/Logging_0128/tillsynsmail/A 46919-2023 tillsynsbegäran mail.docx", "A 46919-2023")</f>
        <v/>
      </c>
      <c r="AE9">
        <f>HYPERLINK("https://klasma.github.io/Logging_0128/fåglar/A 46919-2023 prioriterade fågelarter.docx", "A 46919-2023")</f>
        <v/>
      </c>
    </row>
    <row r="10" ht="15" customHeight="1">
      <c r="A10" t="inlineStr">
        <is>
          <t>A 32951-2025</t>
        </is>
      </c>
      <c r="B10" t="inlineStr">
        <is>
          <t>avverkningsanmälan</t>
        </is>
      </c>
      <c r="C10" t="inlineStr">
        <is>
          <t>Avverkning för att bevara och utveckla /försöksver</t>
        </is>
      </c>
      <c r="D10" s="1" t="n">
        <v>45839</v>
      </c>
      <c r="E10" s="1" t="n">
        <v>46312</v>
      </c>
      <c r="F10" t="inlineStr">
        <is>
          <t>STOCKHOLMS LÄN</t>
        </is>
      </c>
      <c r="G10" t="inlineStr">
        <is>
          <t>SALEM</t>
        </is>
      </c>
      <c r="I10" t="n">
        <v>2.6</v>
      </c>
      <c r="J10" t="n">
        <v>1</v>
      </c>
      <c r="K10" t="n">
        <v>0</v>
      </c>
      <c r="L10" t="n">
        <v>1</v>
      </c>
      <c r="M10" t="n">
        <v>0</v>
      </c>
      <c r="N10" t="n">
        <v>0</v>
      </c>
      <c r="O10" t="n">
        <v>0</v>
      </c>
      <c r="P10" t="n">
        <v>0</v>
      </c>
      <c r="Q10" t="n">
        <v>1</v>
      </c>
      <c r="R10" t="n">
        <v>0</v>
      </c>
      <c r="S10" t="n">
        <v>2</v>
      </c>
      <c r="T10" t="n">
        <v>2</v>
      </c>
      <c r="U10" t="n">
        <v>0</v>
      </c>
      <c r="V10" s="2" t="inlineStr">
        <is>
          <t>Etternässla
Kopparödla</t>
        </is>
      </c>
      <c r="W10">
        <f>HYPERLINK("https://klasma.github.io/Logging_0128/artfynd/A 32951-2025 artfynd.xlsx", "A 32951-2025")</f>
        <v/>
      </c>
      <c r="X10">
        <f>HYPERLINK("https://klasma.github.io/Logging_0128/kartor/A 32951-2025 karta.png", "A 32951-2025")</f>
        <v/>
      </c>
      <c r="Y10">
        <f>HYPERLINK("https://klasma.github.io/Logging_0128/kartor_geotiff/A 32951-2025 georefererad karta.tif", "A 32951-2025")</f>
        <v/>
      </c>
      <c r="AA10">
        <f>HYPERLINK("https://klasma.github.io/Logging_0128/klagomål/A 32951-2025 FSC-klagomål.docx", "A 32951-2025")</f>
        <v/>
      </c>
      <c r="AB10">
        <f>HYPERLINK("https://klasma.github.io/Logging_0128/klagomålsmail/A 32951-2025 FSC-klagomål mail.docx", "A 32951-2025")</f>
        <v/>
      </c>
      <c r="AC10">
        <f>HYPERLINK("https://klasma.github.io/Logging_0128/tillsyn/A 32951-2025 tillsynsbegäran.docx", "A 32951-2025")</f>
        <v/>
      </c>
      <c r="AD10">
        <f>HYPERLINK("https://klasma.github.io/Logging_0128/tillsynsmail/A 32951-2025 tillsynsbegäran mail.docx", "A 32951-2025")</f>
        <v/>
      </c>
    </row>
    <row r="11" ht="15" customHeight="1">
      <c r="A11" t="inlineStr">
        <is>
          <t>A 2987-2023</t>
        </is>
      </c>
      <c r="B11" t="inlineStr">
        <is>
          <t>avverkningsanmälan</t>
        </is>
      </c>
      <c r="C11" t="inlineStr">
        <is>
          <t>Föryngringsavverkning</t>
        </is>
      </c>
      <c r="D11" s="1" t="n">
        <v>44945</v>
      </c>
      <c r="E11" s="1" t="n">
        <v>46312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A 33473-2025</t>
        </is>
      </c>
      <c r="B12" t="inlineStr">
        <is>
          <t>avverkningsanmälan</t>
        </is>
      </c>
      <c r="C12" t="inlineStr">
        <is>
          <t>Avverkning för att bevara och utveckla /försöksver</t>
        </is>
      </c>
      <c r="D12" s="1" t="n">
        <v>45839</v>
      </c>
      <c r="E12" s="1" t="n">
        <v>46312</v>
      </c>
      <c r="F12" t="inlineStr">
        <is>
          <t>STOCKHOLMS LÄN</t>
        </is>
      </c>
      <c r="G12" t="inlineStr">
        <is>
          <t>SALEM</t>
        </is>
      </c>
      <c r="I12" t="n">
        <v>5.7</v>
      </c>
      <c r="J12" t="n">
        <v>0</v>
      </c>
      <c r="K12" t="n">
        <v>0</v>
      </c>
      <c r="L12" t="n">
        <v>0</v>
      </c>
      <c r="M12" t="n">
        <v>1</v>
      </c>
      <c r="N12" t="n">
        <v>0</v>
      </c>
      <c r="O12" t="n">
        <v>0</v>
      </c>
      <c r="P12" t="n">
        <v>0</v>
      </c>
      <c r="Q12" t="n">
        <v>1</v>
      </c>
      <c r="R12" t="n">
        <v>1</v>
      </c>
      <c r="S12" t="n">
        <v>1</v>
      </c>
      <c r="T12" t="n">
        <v>1</v>
      </c>
      <c r="U12" t="n">
        <v>1</v>
      </c>
      <c r="V12" s="2" t="inlineStr">
        <is>
          <t>Igelkott</t>
        </is>
      </c>
      <c r="W12">
        <f>HYPERLINK("https://klasma.github.io/Logging_0128/artfynd/A 33473-2025 artfynd.xlsx", "A 33473-2025")</f>
        <v/>
      </c>
      <c r="X12">
        <f>HYPERLINK("https://klasma.github.io/Logging_0128/kartor/A 33473-2025 karta.png", "A 33473-2025")</f>
        <v/>
      </c>
      <c r="Y12">
        <f>HYPERLINK("https://klasma.github.io/Logging_0128/kartor_geotiff/A 33473-2025 georefererad karta.tif", "A 33473-2025")</f>
        <v/>
      </c>
      <c r="AA12">
        <f>HYPERLINK("https://klasma.github.io/Logging_0128/klagomål/A 33473-2025 FSC-klagomål.docx", "A 33473-2025")</f>
        <v/>
      </c>
      <c r="AB12">
        <f>HYPERLINK("https://klasma.github.io/Logging_0128/klagomålsmail/A 33473-2025 FSC-klagomål mail.docx", "A 33473-2025")</f>
        <v/>
      </c>
      <c r="AC12">
        <f>HYPERLINK("https://klasma.github.io/Logging_0128/tillsyn/A 33473-2025 tillsynsbegäran.docx", "A 33473-2025")</f>
        <v/>
      </c>
      <c r="AD12">
        <f>HYPERLINK("https://klasma.github.io/Logging_0128/tillsynsmail/A 33473-2025 tillsynsbegäran mail.docx", "A 33473-2025")</f>
        <v/>
      </c>
    </row>
    <row r="13" ht="15" customHeight="1">
      <c r="A13" t="inlineStr">
        <is>
          <t>S 2180-2023</t>
        </is>
      </c>
      <c r="B13" t="inlineStr">
        <is>
          <t>samrådsanmälan</t>
        </is>
      </c>
      <c r="C13" t="inlineStr">
        <is>
          <t>Annan skogsbruksåtgärd</t>
        </is>
      </c>
      <c r="D13" s="1" t="n">
        <v>45098</v>
      </c>
      <c r="E13" s="1" t="n">
        <v>46312</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1071-2023</t>
        </is>
      </c>
      <c r="B14" t="inlineStr">
        <is>
          <t>avverkningsanmälan</t>
        </is>
      </c>
      <c r="C14" t="inlineStr">
        <is>
          <t>Föryngringsavverkning</t>
        </is>
      </c>
      <c r="D14" s="1" t="n">
        <v>44935</v>
      </c>
      <c r="E14" s="1" t="n">
        <v>46312</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46312</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46312</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504-2023</t>
        </is>
      </c>
      <c r="B17" t="inlineStr">
        <is>
          <t>avverkningsanmälan</t>
        </is>
      </c>
      <c r="C17" t="inlineStr">
        <is>
          <t>Föryngringsavverkning</t>
        </is>
      </c>
      <c r="D17" s="1" t="n">
        <v>44930</v>
      </c>
      <c r="E17" s="1" t="n">
        <v>46312</v>
      </c>
      <c r="F17" t="inlineStr">
        <is>
          <t>STOCKHOLMS LÄN</t>
        </is>
      </c>
      <c r="G17" t="inlineStr">
        <is>
          <t>SALEM</t>
        </is>
      </c>
      <c r="H17" t="inlineStr">
        <is>
          <t>Kommuner</t>
        </is>
      </c>
      <c r="I17" t="n">
        <v>2</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46312</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61336-2022</t>
        </is>
      </c>
      <c r="B19" t="inlineStr">
        <is>
          <t>avverkningsanmälan</t>
        </is>
      </c>
      <c r="C19" t="inlineStr">
        <is>
          <t>Föryngringsavverkning</t>
        </is>
      </c>
      <c r="D19" s="1" t="n">
        <v>44915</v>
      </c>
      <c r="E19" s="1" t="n">
        <v>46312</v>
      </c>
      <c r="F19" t="inlineStr">
        <is>
          <t>STOCKHOLMS LÄN</t>
        </is>
      </c>
      <c r="G19" t="inlineStr">
        <is>
          <t>SALEM</t>
        </is>
      </c>
      <c r="H19" t="inlineStr">
        <is>
          <t>Kommuner</t>
        </is>
      </c>
      <c r="I19" t="n">
        <v>5.6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46312</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46312</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46312</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46312</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46312</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46312</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46312</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46312</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46312</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46312</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46312</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46312</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46312</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46312</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46312</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46312</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46312</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46312</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46312</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46312</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46312</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46312</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46312</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46312</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46312</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46312</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46312</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46312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2026-10-17T02:06:13Z</dcterms:created>
  <dcterms:modified xmlns:dcterms="http://purl.org/dc/terms/" xmlns:xsi="http://www.w3.org/2001/XMLSchema-instance" xsi:type="dcterms:W3CDTF">2026-10-17T02:06:13Z</dcterms:modified>
</cp:coreProperties>
</file>