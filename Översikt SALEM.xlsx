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9538-2024</t>
        </is>
      </c>
      <c r="B2" t="inlineStr">
        <is>
          <t>avverkningsanmälan</t>
        </is>
      </c>
      <c r="C2" t="inlineStr">
        <is>
          <t>Föryngringsavverkning</t>
        </is>
      </c>
      <c r="D2" s="1" t="n">
        <v>45359</v>
      </c>
      <c r="E2" s="1" t="n">
        <v>46220</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V2">
        <f>HYPERLINK("https://klasma.github.io/Logging_0128/artfynd/A 9538-2024 artfynd.xlsx", "A 9538-2024")</f>
        <v/>
      </c>
      <c r="W2">
        <f>HYPERLINK("https://klasma.github.io/Logging_0128/kartor/A 9538-2024 karta.png", "A 9538-2024")</f>
        <v/>
      </c>
      <c r="Y2">
        <f>HYPERLINK("https://klasma.github.io/Logging_0128/klagomål/A 9538-2024 FSC-klagomål.docx", "A 9538-2024")</f>
        <v/>
      </c>
      <c r="Z2">
        <f>HYPERLINK("https://klasma.github.io/Logging_0128/klagomålsmail/A 9538-2024 FSC-klagomål mail.docx", "A 9538-2024")</f>
        <v/>
      </c>
      <c r="AA2">
        <f>HYPERLINK("https://klasma.github.io/Logging_0128/tillsyn/A 9538-2024 tillsynsbegäran.docx", "A 9538-2024")</f>
        <v/>
      </c>
      <c r="AB2">
        <f>HYPERLINK("https://klasma.github.io/Logging_0128/tillsynsmail/A 9538-2024 tillsynsbegäran mail.docx", "A 9538-2024")</f>
        <v/>
      </c>
      <c r="AC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46220</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s="2" t="inlineStr">
        <is>
          <t>Kandelabersvamp
Tallticka
Ullticka
Brandticka
Fällmossa
Grov fjädermossa
Platt fjädermossa
Västlig hakmossa</t>
        </is>
      </c>
      <c r="V3">
        <f>HYPERLINK("https://klasma.github.io/Logging_0128/artfynd/A 36244-2024 artfynd.xlsx", "A 36244-2024")</f>
        <v/>
      </c>
      <c r="W3">
        <f>HYPERLINK("https://klasma.github.io/Logging_0128/kartor/A 36244-2024 karta.png", "A 36244-2024")</f>
        <v/>
      </c>
      <c r="Y3">
        <f>HYPERLINK("https://klasma.github.io/Logging_0128/klagomål/A 36244-2024 FSC-klagomål.docx", "A 36244-2024")</f>
        <v/>
      </c>
      <c r="Z3">
        <f>HYPERLINK("https://klasma.github.io/Logging_0128/klagomålsmail/A 36244-2024 FSC-klagomål mail.docx", "A 36244-2024")</f>
        <v/>
      </c>
      <c r="AA3">
        <f>HYPERLINK("https://klasma.github.io/Logging_0128/tillsyn/A 36244-2024 tillsynsbegäran.docx", "A 36244-2024")</f>
        <v/>
      </c>
      <c r="AB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46220</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s="2" t="inlineStr">
        <is>
          <t>Gul taggsvamp
Dropptaggsvamp
Grovticka
Spillkråka
Kungsfågel</t>
        </is>
      </c>
      <c r="V4">
        <f>HYPERLINK("https://klasma.github.io/Logging_0128/artfynd/A 8300-2024 artfynd.xlsx", "A 8300-2024")</f>
        <v/>
      </c>
      <c r="W4">
        <f>HYPERLINK("https://klasma.github.io/Logging_0128/kartor/A 8300-2024 karta.png", "A 8300-2024")</f>
        <v/>
      </c>
      <c r="Y4">
        <f>HYPERLINK("https://klasma.github.io/Logging_0128/klagomål/A 8300-2024 FSC-klagomål.docx", "A 8300-2024")</f>
        <v/>
      </c>
      <c r="Z4">
        <f>HYPERLINK("https://klasma.github.io/Logging_0128/klagomålsmail/A 8300-2024 FSC-klagomål mail.docx", "A 8300-2024")</f>
        <v/>
      </c>
      <c r="AA4">
        <f>HYPERLINK("https://klasma.github.io/Logging_0128/tillsyn/A 8300-2024 tillsynsbegäran.docx", "A 8300-2024")</f>
        <v/>
      </c>
      <c r="AB4">
        <f>HYPERLINK("https://klasma.github.io/Logging_0128/tillsynsmail/A 8300-2024 tillsynsbegäran mail.docx", "A 8300-2024")</f>
        <v/>
      </c>
      <c r="AC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46220</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s="2" t="inlineStr">
        <is>
          <t>Tallticka
Ullticka
Trådticka
Zontaggsvamp</t>
        </is>
      </c>
      <c r="V5">
        <f>HYPERLINK("https://klasma.github.io/Logging_0128/artfynd/A 61302-2022 artfynd.xlsx", "A 61302-2022")</f>
        <v/>
      </c>
      <c r="W5">
        <f>HYPERLINK("https://klasma.github.io/Logging_0128/kartor/A 61302-2022 karta.png", "A 61302-2022")</f>
        <v/>
      </c>
      <c r="Y5">
        <f>HYPERLINK("https://klasma.github.io/Logging_0128/klagomål/A 61302-2022 FSC-klagomål.docx", "A 61302-2022")</f>
        <v/>
      </c>
      <c r="Z5">
        <f>HYPERLINK("https://klasma.github.io/Logging_0128/klagomålsmail/A 61302-2022 FSC-klagomål mail.docx", "A 61302-2022")</f>
        <v/>
      </c>
      <c r="AA5">
        <f>HYPERLINK("https://klasma.github.io/Logging_0128/tillsyn/A 61302-2022 tillsynsbegäran.docx", "A 61302-2022")</f>
        <v/>
      </c>
      <c r="AB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46220</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s="2" t="inlineStr">
        <is>
          <t>Blåmossa
Spillkråka
Kungsfågel</t>
        </is>
      </c>
      <c r="V6">
        <f>HYPERLINK("https://klasma.github.io/Logging_0128/artfynd/A 68700-2021 artfynd.xlsx", "A 68700-2021")</f>
        <v/>
      </c>
      <c r="W6">
        <f>HYPERLINK("https://klasma.github.io/Logging_0128/kartor/A 68700-2021 karta.png", "A 68700-2021")</f>
        <v/>
      </c>
      <c r="Y6">
        <f>HYPERLINK("https://klasma.github.io/Logging_0128/klagomål/A 68700-2021 FSC-klagomål.docx", "A 68700-2021")</f>
        <v/>
      </c>
      <c r="Z6">
        <f>HYPERLINK("https://klasma.github.io/Logging_0128/klagomålsmail/A 68700-2021 FSC-klagomål mail.docx", "A 68700-2021")</f>
        <v/>
      </c>
      <c r="AA6">
        <f>HYPERLINK("https://klasma.github.io/Logging_0128/tillsyn/A 68700-2021 tillsynsbegäran.docx", "A 68700-2021")</f>
        <v/>
      </c>
      <c r="AB6">
        <f>HYPERLINK("https://klasma.github.io/Logging_0128/tillsynsmail/A 68700-2021 tillsynsbegäran mail.docx", "A 68700-2021")</f>
        <v/>
      </c>
      <c r="AC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46220</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s="2" t="inlineStr">
        <is>
          <t>Granbarkgnagare
Större vattensalamander
Mindre vattensalamander</t>
        </is>
      </c>
      <c r="V7">
        <f>HYPERLINK("https://klasma.github.io/Logging_0128/artfynd/A 2990-2023 artfynd.xlsx", "A 2990-2023")</f>
        <v/>
      </c>
      <c r="W7">
        <f>HYPERLINK("https://klasma.github.io/Logging_0128/kartor/A 2990-2023 karta.png", "A 2990-2023")</f>
        <v/>
      </c>
      <c r="Y7">
        <f>HYPERLINK("https://klasma.github.io/Logging_0128/klagomål/A 2990-2023 FSC-klagomål.docx", "A 2990-2023")</f>
        <v/>
      </c>
      <c r="Z7">
        <f>HYPERLINK("https://klasma.github.io/Logging_0128/klagomålsmail/A 2990-2023 FSC-klagomål mail.docx", "A 2990-2023")</f>
        <v/>
      </c>
      <c r="AA7">
        <f>HYPERLINK("https://klasma.github.io/Logging_0128/tillsyn/A 2990-2023 tillsynsbegäran.docx", "A 2990-2023")</f>
        <v/>
      </c>
      <c r="AB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46220</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s="2" t="inlineStr">
        <is>
          <t>Kandelabersvamp
Rynkskinn
Blåmossa</t>
        </is>
      </c>
      <c r="V8">
        <f>HYPERLINK("https://klasma.github.io/Logging_0128/artfynd/A 2992-2023 artfynd.xlsx", "A 2992-2023")</f>
        <v/>
      </c>
      <c r="W8">
        <f>HYPERLINK("https://klasma.github.io/Logging_0128/kartor/A 2992-2023 karta.png", "A 2992-2023")</f>
        <v/>
      </c>
      <c r="Y8">
        <f>HYPERLINK("https://klasma.github.io/Logging_0128/klagomål/A 2992-2023 FSC-klagomål.docx", "A 2992-2023")</f>
        <v/>
      </c>
      <c r="Z8">
        <f>HYPERLINK("https://klasma.github.io/Logging_0128/klagomålsmail/A 2992-2023 FSC-klagomål mail.docx", "A 2992-2023")</f>
        <v/>
      </c>
      <c r="AA8">
        <f>HYPERLINK("https://klasma.github.io/Logging_0128/tillsyn/A 2992-2023 tillsynsbegäran.docx", "A 2992-2023")</f>
        <v/>
      </c>
      <c r="AB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46220</v>
      </c>
      <c r="F9" t="inlineStr">
        <is>
          <t>STOCKHOLMS LÄN</t>
        </is>
      </c>
      <c r="G9" t="inlineStr">
        <is>
          <t>SALEM</t>
        </is>
      </c>
      <c r="I9" t="n">
        <v>2.6</v>
      </c>
      <c r="J9" t="n">
        <v>1</v>
      </c>
      <c r="K9" t="n">
        <v>0</v>
      </c>
      <c r="L9" t="n">
        <v>1</v>
      </c>
      <c r="M9" t="n">
        <v>0</v>
      </c>
      <c r="N9" t="n">
        <v>0</v>
      </c>
      <c r="O9" t="n">
        <v>0</v>
      </c>
      <c r="P9" t="n">
        <v>0</v>
      </c>
      <c r="Q9" t="n">
        <v>1</v>
      </c>
      <c r="R9" t="n">
        <v>0</v>
      </c>
      <c r="S9" t="n">
        <v>2</v>
      </c>
      <c r="T9" t="n">
        <v>2</v>
      </c>
      <c r="U9" s="2" t="inlineStr">
        <is>
          <t>Etternässla
Kopparödla</t>
        </is>
      </c>
      <c r="V9">
        <f>HYPERLINK("https://klasma.github.io/Logging_0128/artfynd/A 32951-2025 artfynd.xlsx", "A 32951-2025")</f>
        <v/>
      </c>
      <c r="W9">
        <f>HYPERLINK("https://klasma.github.io/Logging_0128/kartor/A 32951-2025 karta.png", "A 32951-2025")</f>
        <v/>
      </c>
      <c r="Y9">
        <f>HYPERLINK("https://klasma.github.io/Logging_0128/klagomål/A 32951-2025 FSC-klagomål.docx", "A 32951-2025")</f>
        <v/>
      </c>
      <c r="Z9">
        <f>HYPERLINK("https://klasma.github.io/Logging_0128/klagomålsmail/A 32951-2025 FSC-klagomål mail.docx", "A 32951-2025")</f>
        <v/>
      </c>
      <c r="AA9">
        <f>HYPERLINK("https://klasma.github.io/Logging_0128/tillsyn/A 32951-2025 tillsynsbegäran.docx", "A 32951-2025")</f>
        <v/>
      </c>
      <c r="AB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46220</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s="2" t="inlineStr">
        <is>
          <t>Igelkott</t>
        </is>
      </c>
      <c r="V10">
        <f>HYPERLINK("https://klasma.github.io/Logging_0128/artfynd/A 33473-2025 artfynd.xlsx", "A 33473-2025")</f>
        <v/>
      </c>
      <c r="W10">
        <f>HYPERLINK("https://klasma.github.io/Logging_0128/kartor/A 33473-2025 karta.png", "A 33473-2025")</f>
        <v/>
      </c>
      <c r="Y10">
        <f>HYPERLINK("https://klasma.github.io/Logging_0128/klagomål/A 33473-2025 FSC-klagomål.docx", "A 33473-2025")</f>
        <v/>
      </c>
      <c r="Z10">
        <f>HYPERLINK("https://klasma.github.io/Logging_0128/klagomålsmail/A 33473-2025 FSC-klagomål mail.docx", "A 33473-2025")</f>
        <v/>
      </c>
      <c r="AA10">
        <f>HYPERLINK("https://klasma.github.io/Logging_0128/tillsyn/A 33473-2025 tillsynsbegäran.docx", "A 33473-2025")</f>
        <v/>
      </c>
      <c r="AB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46220</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s="2" t="inlineStr">
        <is>
          <t>Tallticka</t>
        </is>
      </c>
      <c r="V11">
        <f>HYPERLINK("https://klasma.github.io/Logging_0128/artfynd/A 2987-2023 artfynd.xlsx", "A 2987-2023")</f>
        <v/>
      </c>
      <c r="W11">
        <f>HYPERLINK("https://klasma.github.io/Logging_0128/kartor/A 2987-2023 karta.png", "A 2987-2023")</f>
        <v/>
      </c>
      <c r="Y11">
        <f>HYPERLINK("https://klasma.github.io/Logging_0128/klagomål/A 2987-2023 FSC-klagomål.docx", "A 2987-2023")</f>
        <v/>
      </c>
      <c r="Z11">
        <f>HYPERLINK("https://klasma.github.io/Logging_0128/klagomålsmail/A 2987-2023 FSC-klagomål mail.docx", "A 2987-2023")</f>
        <v/>
      </c>
      <c r="AA11">
        <f>HYPERLINK("https://klasma.github.io/Logging_0128/tillsyn/A 2987-2023 tillsynsbegäran.docx", "A 2987-2023")</f>
        <v/>
      </c>
      <c r="AB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46220</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s="2" t="inlineStr">
        <is>
          <t>Fläckvingad träfluga</t>
        </is>
      </c>
      <c r="V12">
        <f>HYPERLINK("https://klasma.github.io/Logging_0128/artfynd/S 2180-2023 artfynd.xlsx", "S 2180-2023")</f>
        <v/>
      </c>
      <c r="W12">
        <f>HYPERLINK("https://klasma.github.io/Logging_0128/kartor/S 2180-2023 karta.png", "S 2180-2023")</f>
        <v/>
      </c>
      <c r="Y12">
        <f>HYPERLINK("https://klasma.github.io/Logging_0128/klagomål/S 2180-2023 FSC-klagomål.docx", "S 2180-2023")</f>
        <v/>
      </c>
      <c r="Z12">
        <f>HYPERLINK("https://klasma.github.io/Logging_0128/klagomålsmail/S 2180-2023 FSC-klagomål mail.docx", "S 2180-2023")</f>
        <v/>
      </c>
      <c r="AA12">
        <f>HYPERLINK("https://klasma.github.io/Logging_0128/tillsyn/S 2180-2023 tillsynsbegäran.docx", "S 2180-2023")</f>
        <v/>
      </c>
      <c r="AB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46220</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s="2" t="inlineStr"/>
    </row>
    <row r="14" ht="15" customHeight="1">
      <c r="A14" t="inlineStr">
        <is>
          <t>A 1071-2023</t>
        </is>
      </c>
      <c r="B14" t="inlineStr">
        <is>
          <t>avverkningsanmälan</t>
        </is>
      </c>
      <c r="C14" t="inlineStr">
        <is>
          <t>Föryngringsavverkning</t>
        </is>
      </c>
      <c r="D14" s="1" t="n">
        <v>44935</v>
      </c>
      <c r="E14" s="1" t="n">
        <v>46220</v>
      </c>
      <c r="F14" t="inlineStr">
        <is>
          <t>STOCKHOLMS LÄN</t>
        </is>
      </c>
      <c r="G14" t="inlineStr">
        <is>
          <t>SALEM</t>
        </is>
      </c>
      <c r="H14" t="inlineStr">
        <is>
          <t>Kommuner</t>
        </is>
      </c>
      <c r="I14" t="n">
        <v>5.1</v>
      </c>
      <c r="J14" t="n">
        <v>0</v>
      </c>
      <c r="K14" t="n">
        <v>0</v>
      </c>
      <c r="L14" t="n">
        <v>0</v>
      </c>
      <c r="M14" t="n">
        <v>0</v>
      </c>
      <c r="N14" t="n">
        <v>0</v>
      </c>
      <c r="O14" t="n">
        <v>0</v>
      </c>
      <c r="P14" t="n">
        <v>0</v>
      </c>
      <c r="Q14" t="n">
        <v>0</v>
      </c>
      <c r="R14" t="n">
        <v>0</v>
      </c>
      <c r="S14" t="n">
        <v>0</v>
      </c>
      <c r="T14" t="n">
        <v>0</v>
      </c>
      <c r="U14" s="2" t="inlineStr"/>
    </row>
    <row r="15" ht="15" customHeight="1">
      <c r="A15" t="inlineStr">
        <is>
          <t>A 32962-2025</t>
        </is>
      </c>
      <c r="B15" t="inlineStr">
        <is>
          <t>avverkningsanmälan</t>
        </is>
      </c>
      <c r="C15" t="inlineStr">
        <is>
          <t>Avverkning för att bevara och utveckla /försöksver</t>
        </is>
      </c>
      <c r="D15" s="1" t="n">
        <v>45839</v>
      </c>
      <c r="E15" s="1" t="n">
        <v>46220</v>
      </c>
      <c r="F15" t="inlineStr">
        <is>
          <t>STOCKHOLMS LÄN</t>
        </is>
      </c>
      <c r="G15" t="inlineStr">
        <is>
          <t>SALEM</t>
        </is>
      </c>
      <c r="I15" t="n">
        <v>0.8</v>
      </c>
      <c r="J15" t="n">
        <v>0</v>
      </c>
      <c r="K15" t="n">
        <v>0</v>
      </c>
      <c r="L15" t="n">
        <v>0</v>
      </c>
      <c r="M15" t="n">
        <v>0</v>
      </c>
      <c r="N15" t="n">
        <v>0</v>
      </c>
      <c r="O15" t="n">
        <v>0</v>
      </c>
      <c r="P15" t="n">
        <v>0</v>
      </c>
      <c r="Q15" t="n">
        <v>0</v>
      </c>
      <c r="R15" t="n">
        <v>0</v>
      </c>
      <c r="S15" t="n">
        <v>0</v>
      </c>
      <c r="T15" t="n">
        <v>0</v>
      </c>
      <c r="U15" s="2" t="inlineStr"/>
    </row>
    <row r="16" ht="15" customHeight="1">
      <c r="A16" t="inlineStr">
        <is>
          <t>A 33029-2025</t>
        </is>
      </c>
      <c r="B16" t="inlineStr">
        <is>
          <t>avverkningsanmälan</t>
        </is>
      </c>
      <c r="C16" t="inlineStr">
        <is>
          <t>Avverkning för att bevara och utveckla /försöksver</t>
        </is>
      </c>
      <c r="D16" s="1" t="n">
        <v>45839</v>
      </c>
      <c r="E16" s="1" t="n">
        <v>46220</v>
      </c>
      <c r="F16" t="inlineStr">
        <is>
          <t>STOCKHOLMS LÄN</t>
        </is>
      </c>
      <c r="G16" t="inlineStr">
        <is>
          <t>SALEM</t>
        </is>
      </c>
      <c r="I16" t="n">
        <v>1.5</v>
      </c>
      <c r="J16" t="n">
        <v>0</v>
      </c>
      <c r="K16" t="n">
        <v>0</v>
      </c>
      <c r="L16" t="n">
        <v>0</v>
      </c>
      <c r="M16" t="n">
        <v>0</v>
      </c>
      <c r="N16" t="n">
        <v>0</v>
      </c>
      <c r="O16" t="n">
        <v>0</v>
      </c>
      <c r="P16" t="n">
        <v>0</v>
      </c>
      <c r="Q16" t="n">
        <v>0</v>
      </c>
      <c r="R16" t="n">
        <v>0</v>
      </c>
      <c r="S16" t="n">
        <v>0</v>
      </c>
      <c r="T16" t="n">
        <v>0</v>
      </c>
      <c r="U16" s="2" t="inlineStr"/>
    </row>
    <row r="17" ht="15" customHeight="1">
      <c r="A17" t="inlineStr">
        <is>
          <t>A 33455-2025</t>
        </is>
      </c>
      <c r="B17" t="inlineStr">
        <is>
          <t>avverkningsanmälan</t>
        </is>
      </c>
      <c r="C17" t="inlineStr">
        <is>
          <t>Avverkning för att bevara och utveckla /försöksver</t>
        </is>
      </c>
      <c r="D17" s="1" t="n">
        <v>45839</v>
      </c>
      <c r="E17" s="1" t="n">
        <v>46220</v>
      </c>
      <c r="F17" t="inlineStr">
        <is>
          <t>STOCKHOLMS LÄN</t>
        </is>
      </c>
      <c r="G17" t="inlineStr">
        <is>
          <t>SALEM</t>
        </is>
      </c>
      <c r="I17" t="n">
        <v>0.9</v>
      </c>
      <c r="J17" t="n">
        <v>0</v>
      </c>
      <c r="K17" t="n">
        <v>0</v>
      </c>
      <c r="L17" t="n">
        <v>0</v>
      </c>
      <c r="M17" t="n">
        <v>0</v>
      </c>
      <c r="N17" t="n">
        <v>0</v>
      </c>
      <c r="O17" t="n">
        <v>0</v>
      </c>
      <c r="P17" t="n">
        <v>0</v>
      </c>
      <c r="Q17" t="n">
        <v>0</v>
      </c>
      <c r="R17" t="n">
        <v>0</v>
      </c>
      <c r="S17" t="n">
        <v>0</v>
      </c>
      <c r="T17" t="n">
        <v>0</v>
      </c>
      <c r="U17" s="2" t="inlineStr"/>
    </row>
    <row r="18" ht="15" customHeight="1">
      <c r="A18" t="inlineStr">
        <is>
          <t>A 33243-2025</t>
        </is>
      </c>
      <c r="B18" t="inlineStr">
        <is>
          <t>avverkningsanmälan</t>
        </is>
      </c>
      <c r="C18" t="inlineStr">
        <is>
          <t>Avverkning för att bevara och utveckla /försöksver</t>
        </is>
      </c>
      <c r="D18" s="1" t="n">
        <v>45839</v>
      </c>
      <c r="E18" s="1" t="n">
        <v>46220</v>
      </c>
      <c r="F18" t="inlineStr">
        <is>
          <t>STOCKHOLMS LÄN</t>
        </is>
      </c>
      <c r="G18" t="inlineStr">
        <is>
          <t>SALEM</t>
        </is>
      </c>
      <c r="I18" t="n">
        <v>2.7</v>
      </c>
      <c r="J18" t="n">
        <v>0</v>
      </c>
      <c r="K18" t="n">
        <v>0</v>
      </c>
      <c r="L18" t="n">
        <v>0</v>
      </c>
      <c r="M18" t="n">
        <v>0</v>
      </c>
      <c r="N18" t="n">
        <v>0</v>
      </c>
      <c r="O18" t="n">
        <v>0</v>
      </c>
      <c r="P18" t="n">
        <v>0</v>
      </c>
      <c r="Q18" t="n">
        <v>0</v>
      </c>
      <c r="R18" t="n">
        <v>0</v>
      </c>
      <c r="S18" t="n">
        <v>0</v>
      </c>
      <c r="T18" t="n">
        <v>0</v>
      </c>
      <c r="U18" s="2" t="inlineStr"/>
    </row>
    <row r="19" ht="15" customHeight="1">
      <c r="A19" t="inlineStr">
        <is>
          <t>A 33251-2025</t>
        </is>
      </c>
      <c r="B19" t="inlineStr">
        <is>
          <t>avverkningsanmälan</t>
        </is>
      </c>
      <c r="C19" t="inlineStr">
        <is>
          <t>Avverkning för att bevara och utveckla /försöksver</t>
        </is>
      </c>
      <c r="D19" s="1" t="n">
        <v>45839</v>
      </c>
      <c r="E19" s="1" t="n">
        <v>46220</v>
      </c>
      <c r="F19" t="inlineStr">
        <is>
          <t>STOCKHOLMS LÄN</t>
        </is>
      </c>
      <c r="G19" t="inlineStr">
        <is>
          <t>SALEM</t>
        </is>
      </c>
      <c r="I19" t="n">
        <v>2.9</v>
      </c>
      <c r="J19" t="n">
        <v>0</v>
      </c>
      <c r="K19" t="n">
        <v>0</v>
      </c>
      <c r="L19" t="n">
        <v>0</v>
      </c>
      <c r="M19" t="n">
        <v>0</v>
      </c>
      <c r="N19" t="n">
        <v>0</v>
      </c>
      <c r="O19" t="n">
        <v>0</v>
      </c>
      <c r="P19" t="n">
        <v>0</v>
      </c>
      <c r="Q19" t="n">
        <v>0</v>
      </c>
      <c r="R19" t="n">
        <v>0</v>
      </c>
      <c r="S19" t="n">
        <v>0</v>
      </c>
      <c r="T19" t="n">
        <v>0</v>
      </c>
      <c r="U19" s="2" t="inlineStr"/>
    </row>
    <row r="20" ht="15" customHeight="1">
      <c r="A20" t="inlineStr">
        <is>
          <t>A 33277-2025</t>
        </is>
      </c>
      <c r="B20" t="inlineStr">
        <is>
          <t>avverkningsanmälan</t>
        </is>
      </c>
      <c r="C20" t="inlineStr">
        <is>
          <t>Avverkning för att bevara och utveckla /försöksver</t>
        </is>
      </c>
      <c r="D20" s="1" t="n">
        <v>45839</v>
      </c>
      <c r="E20" s="1" t="n">
        <v>46220</v>
      </c>
      <c r="F20" t="inlineStr">
        <is>
          <t>STOCKHOLMS LÄN</t>
        </is>
      </c>
      <c r="G20" t="inlineStr">
        <is>
          <t>SALEM</t>
        </is>
      </c>
      <c r="I20" t="n">
        <v>2.4</v>
      </c>
      <c r="J20" t="n">
        <v>0</v>
      </c>
      <c r="K20" t="n">
        <v>0</v>
      </c>
      <c r="L20" t="n">
        <v>0</v>
      </c>
      <c r="M20" t="n">
        <v>0</v>
      </c>
      <c r="N20" t="n">
        <v>0</v>
      </c>
      <c r="O20" t="n">
        <v>0</v>
      </c>
      <c r="P20" t="n">
        <v>0</v>
      </c>
      <c r="Q20" t="n">
        <v>0</v>
      </c>
      <c r="R20" t="n">
        <v>0</v>
      </c>
      <c r="S20" t="n">
        <v>0</v>
      </c>
      <c r="T20" t="n">
        <v>0</v>
      </c>
      <c r="U20" s="2" t="inlineStr"/>
    </row>
    <row r="21" ht="15" customHeight="1">
      <c r="A21" t="inlineStr">
        <is>
          <t>A 33284-2025</t>
        </is>
      </c>
      <c r="B21" t="inlineStr">
        <is>
          <t>avverkningsanmälan</t>
        </is>
      </c>
      <c r="C21" t="inlineStr">
        <is>
          <t>Avverkning för att bevara och utveckla /försöksver</t>
        </is>
      </c>
      <c r="D21" s="1" t="n">
        <v>45839</v>
      </c>
      <c r="E21" s="1" t="n">
        <v>46220</v>
      </c>
      <c r="F21" t="inlineStr">
        <is>
          <t>STOCKHOLMS LÄN</t>
        </is>
      </c>
      <c r="G21" t="inlineStr">
        <is>
          <t>SALEM</t>
        </is>
      </c>
      <c r="I21" t="n">
        <v>3.3</v>
      </c>
      <c r="J21" t="n">
        <v>0</v>
      </c>
      <c r="K21" t="n">
        <v>0</v>
      </c>
      <c r="L21" t="n">
        <v>0</v>
      </c>
      <c r="M21" t="n">
        <v>0</v>
      </c>
      <c r="N21" t="n">
        <v>0</v>
      </c>
      <c r="O21" t="n">
        <v>0</v>
      </c>
      <c r="P21" t="n">
        <v>0</v>
      </c>
      <c r="Q21" t="n">
        <v>0</v>
      </c>
      <c r="R21" t="n">
        <v>0</v>
      </c>
      <c r="S21" t="n">
        <v>0</v>
      </c>
      <c r="T21" t="n">
        <v>0</v>
      </c>
      <c r="U21" s="2" t="inlineStr"/>
    </row>
    <row r="22" ht="15" customHeight="1">
      <c r="A22" t="inlineStr">
        <is>
          <t>A 32960-2025</t>
        </is>
      </c>
      <c r="B22" t="inlineStr">
        <is>
          <t>avverkningsanmälan</t>
        </is>
      </c>
      <c r="C22" t="inlineStr">
        <is>
          <t>Avverkning för att bevara och utveckla /försöksver</t>
        </is>
      </c>
      <c r="D22" s="1" t="n">
        <v>45839</v>
      </c>
      <c r="E22" s="1" t="n">
        <v>46220</v>
      </c>
      <c r="F22" t="inlineStr">
        <is>
          <t>STOCKHOLMS LÄN</t>
        </is>
      </c>
      <c r="G22" t="inlineStr">
        <is>
          <t>SALEM</t>
        </is>
      </c>
      <c r="I22" t="n">
        <v>5.3</v>
      </c>
      <c r="J22" t="n">
        <v>0</v>
      </c>
      <c r="K22" t="n">
        <v>0</v>
      </c>
      <c r="L22" t="n">
        <v>0</v>
      </c>
      <c r="M22" t="n">
        <v>0</v>
      </c>
      <c r="N22" t="n">
        <v>0</v>
      </c>
      <c r="O22" t="n">
        <v>0</v>
      </c>
      <c r="P22" t="n">
        <v>0</v>
      </c>
      <c r="Q22" t="n">
        <v>0</v>
      </c>
      <c r="R22" t="n">
        <v>0</v>
      </c>
      <c r="S22" t="n">
        <v>0</v>
      </c>
      <c r="T22" t="n">
        <v>0</v>
      </c>
      <c r="U22" s="2" t="inlineStr"/>
    </row>
    <row r="23" ht="15" customHeight="1">
      <c r="A23" t="inlineStr">
        <is>
          <t>A 32968-2025</t>
        </is>
      </c>
      <c r="B23" t="inlineStr">
        <is>
          <t>avverkningsanmälan</t>
        </is>
      </c>
      <c r="C23" t="inlineStr">
        <is>
          <t>Avverkning för att bevara och utveckla /försöksver</t>
        </is>
      </c>
      <c r="D23" s="1" t="n">
        <v>45839</v>
      </c>
      <c r="E23" s="1" t="n">
        <v>46220</v>
      </c>
      <c r="F23" t="inlineStr">
        <is>
          <t>STOCKHOLMS LÄN</t>
        </is>
      </c>
      <c r="G23" t="inlineStr">
        <is>
          <t>SALEM</t>
        </is>
      </c>
      <c r="I23" t="n">
        <v>1.1</v>
      </c>
      <c r="J23" t="n">
        <v>0</v>
      </c>
      <c r="K23" t="n">
        <v>0</v>
      </c>
      <c r="L23" t="n">
        <v>0</v>
      </c>
      <c r="M23" t="n">
        <v>0</v>
      </c>
      <c r="N23" t="n">
        <v>0</v>
      </c>
      <c r="O23" t="n">
        <v>0</v>
      </c>
      <c r="P23" t="n">
        <v>0</v>
      </c>
      <c r="Q23" t="n">
        <v>0</v>
      </c>
      <c r="R23" t="n">
        <v>0</v>
      </c>
      <c r="S23" t="n">
        <v>0</v>
      </c>
      <c r="T23" t="n">
        <v>0</v>
      </c>
      <c r="U23" s="2" t="inlineStr"/>
    </row>
    <row r="24" ht="15" customHeight="1">
      <c r="A24" t="inlineStr">
        <is>
          <t>A 32942-2025</t>
        </is>
      </c>
      <c r="B24" t="inlineStr">
        <is>
          <t>avverkningsanmälan</t>
        </is>
      </c>
      <c r="C24" t="inlineStr">
        <is>
          <t>Avverkning för att bevara och utveckla /försöksver</t>
        </is>
      </c>
      <c r="D24" s="1" t="n">
        <v>45839</v>
      </c>
      <c r="E24" s="1" t="n">
        <v>46220</v>
      </c>
      <c r="F24" t="inlineStr">
        <is>
          <t>STOCKHOLMS LÄN</t>
        </is>
      </c>
      <c r="G24" t="inlineStr">
        <is>
          <t>SALEM</t>
        </is>
      </c>
      <c r="I24" t="n">
        <v>1.4</v>
      </c>
      <c r="J24" t="n">
        <v>0</v>
      </c>
      <c r="K24" t="n">
        <v>0</v>
      </c>
      <c r="L24" t="n">
        <v>0</v>
      </c>
      <c r="M24" t="n">
        <v>0</v>
      </c>
      <c r="N24" t="n">
        <v>0</v>
      </c>
      <c r="O24" t="n">
        <v>0</v>
      </c>
      <c r="P24" t="n">
        <v>0</v>
      </c>
      <c r="Q24" t="n">
        <v>0</v>
      </c>
      <c r="R24" t="n">
        <v>0</v>
      </c>
      <c r="S24" t="n">
        <v>0</v>
      </c>
      <c r="T24" t="n">
        <v>0</v>
      </c>
      <c r="U24" s="2" t="inlineStr"/>
    </row>
    <row r="25" ht="15" customHeight="1">
      <c r="A25" t="inlineStr">
        <is>
          <t>A 32965-2025</t>
        </is>
      </c>
      <c r="B25" t="inlineStr">
        <is>
          <t>avverkningsanmälan</t>
        </is>
      </c>
      <c r="C25" t="inlineStr">
        <is>
          <t>Avverkning för att bevara och utveckla /försöksver</t>
        </is>
      </c>
      <c r="D25" s="1" t="n">
        <v>45839</v>
      </c>
      <c r="E25" s="1" t="n">
        <v>46220</v>
      </c>
      <c r="F25" t="inlineStr">
        <is>
          <t>STOCKHOLMS LÄN</t>
        </is>
      </c>
      <c r="G25" t="inlineStr">
        <is>
          <t>SALEM</t>
        </is>
      </c>
      <c r="I25" t="n">
        <v>2.8</v>
      </c>
      <c r="J25" t="n">
        <v>0</v>
      </c>
      <c r="K25" t="n">
        <v>0</v>
      </c>
      <c r="L25" t="n">
        <v>0</v>
      </c>
      <c r="M25" t="n">
        <v>0</v>
      </c>
      <c r="N25" t="n">
        <v>0</v>
      </c>
      <c r="O25" t="n">
        <v>0</v>
      </c>
      <c r="P25" t="n">
        <v>0</v>
      </c>
      <c r="Q25" t="n">
        <v>0</v>
      </c>
      <c r="R25" t="n">
        <v>0</v>
      </c>
      <c r="S25" t="n">
        <v>0</v>
      </c>
      <c r="T25" t="n">
        <v>0</v>
      </c>
      <c r="U25" s="2" t="inlineStr"/>
    </row>
    <row r="26" ht="15" customHeight="1">
      <c r="A26" t="inlineStr">
        <is>
          <t>A 32970-2025</t>
        </is>
      </c>
      <c r="B26" t="inlineStr">
        <is>
          <t>avverkningsanmälan</t>
        </is>
      </c>
      <c r="C26" t="inlineStr">
        <is>
          <t>Avverkning för att bevara och utveckla /försöksver</t>
        </is>
      </c>
      <c r="D26" s="1" t="n">
        <v>45839</v>
      </c>
      <c r="E26" s="1" t="n">
        <v>46220</v>
      </c>
      <c r="F26" t="inlineStr">
        <is>
          <t>STOCKHOLMS LÄN</t>
        </is>
      </c>
      <c r="G26" t="inlineStr">
        <is>
          <t>SALEM</t>
        </is>
      </c>
      <c r="I26" t="n">
        <v>10.5</v>
      </c>
      <c r="J26" t="n">
        <v>0</v>
      </c>
      <c r="K26" t="n">
        <v>0</v>
      </c>
      <c r="L26" t="n">
        <v>0</v>
      </c>
      <c r="M26" t="n">
        <v>0</v>
      </c>
      <c r="N26" t="n">
        <v>0</v>
      </c>
      <c r="O26" t="n">
        <v>0</v>
      </c>
      <c r="P26" t="n">
        <v>0</v>
      </c>
      <c r="Q26" t="n">
        <v>0</v>
      </c>
      <c r="R26" t="n">
        <v>0</v>
      </c>
      <c r="S26" t="n">
        <v>0</v>
      </c>
      <c r="T26" t="n">
        <v>0</v>
      </c>
      <c r="U26" s="2" t="inlineStr"/>
    </row>
    <row r="27" ht="15" customHeight="1">
      <c r="A27" t="inlineStr">
        <is>
          <t>A 32953-2025</t>
        </is>
      </c>
      <c r="B27" t="inlineStr">
        <is>
          <t>avverkningsanmälan</t>
        </is>
      </c>
      <c r="C27" t="inlineStr">
        <is>
          <t>Avverkning för att bevara och utveckla /försöksver</t>
        </is>
      </c>
      <c r="D27" s="1" t="n">
        <v>45839</v>
      </c>
      <c r="E27" s="1" t="n">
        <v>46220</v>
      </c>
      <c r="F27" t="inlineStr">
        <is>
          <t>STOCKHOLMS LÄN</t>
        </is>
      </c>
      <c r="G27" t="inlineStr">
        <is>
          <t>SALEM</t>
        </is>
      </c>
      <c r="I27" t="n">
        <v>2.4</v>
      </c>
      <c r="J27" t="n">
        <v>0</v>
      </c>
      <c r="K27" t="n">
        <v>0</v>
      </c>
      <c r="L27" t="n">
        <v>0</v>
      </c>
      <c r="M27" t="n">
        <v>0</v>
      </c>
      <c r="N27" t="n">
        <v>0</v>
      </c>
      <c r="O27" t="n">
        <v>0</v>
      </c>
      <c r="P27" t="n">
        <v>0</v>
      </c>
      <c r="Q27" t="n">
        <v>0</v>
      </c>
      <c r="R27" t="n">
        <v>0</v>
      </c>
      <c r="S27" t="n">
        <v>0</v>
      </c>
      <c r="T27" t="n">
        <v>0</v>
      </c>
      <c r="U27" s="2" t="inlineStr"/>
    </row>
    <row r="28" ht="15" customHeight="1">
      <c r="A28" t="inlineStr">
        <is>
          <t>A 33470-2025</t>
        </is>
      </c>
      <c r="B28" t="inlineStr">
        <is>
          <t>avverkningsanmälan</t>
        </is>
      </c>
      <c r="C28" t="inlineStr">
        <is>
          <t>Avverkning för att bevara och utveckla /försöksver</t>
        </is>
      </c>
      <c r="D28" s="1" t="n">
        <v>45839</v>
      </c>
      <c r="E28" s="1" t="n">
        <v>46220</v>
      </c>
      <c r="F28" t="inlineStr">
        <is>
          <t>STOCKHOLMS LÄN</t>
        </is>
      </c>
      <c r="G28" t="inlineStr">
        <is>
          <t>SALEM</t>
        </is>
      </c>
      <c r="I28" t="n">
        <v>2.1</v>
      </c>
      <c r="J28" t="n">
        <v>0</v>
      </c>
      <c r="K28" t="n">
        <v>0</v>
      </c>
      <c r="L28" t="n">
        <v>0</v>
      </c>
      <c r="M28" t="n">
        <v>0</v>
      </c>
      <c r="N28" t="n">
        <v>0</v>
      </c>
      <c r="O28" t="n">
        <v>0</v>
      </c>
      <c r="P28" t="n">
        <v>0</v>
      </c>
      <c r="Q28" t="n">
        <v>0</v>
      </c>
      <c r="R28" t="n">
        <v>0</v>
      </c>
      <c r="S28" t="n">
        <v>0</v>
      </c>
      <c r="T28" t="n">
        <v>0</v>
      </c>
      <c r="U28" s="2" t="inlineStr"/>
    </row>
    <row r="29" ht="15" customHeight="1">
      <c r="A29" t="inlineStr">
        <is>
          <t>A 33441-2025</t>
        </is>
      </c>
      <c r="B29" t="inlineStr">
        <is>
          <t>avverkningsanmälan</t>
        </is>
      </c>
      <c r="C29" t="inlineStr">
        <is>
          <t>Avverkning för att bevara och utveckla /försöksver</t>
        </is>
      </c>
      <c r="D29" s="1" t="n">
        <v>45839</v>
      </c>
      <c r="E29" s="1" t="n">
        <v>46220</v>
      </c>
      <c r="F29" t="inlineStr">
        <is>
          <t>STOCKHOLMS LÄN</t>
        </is>
      </c>
      <c r="G29" t="inlineStr">
        <is>
          <t>SALEM</t>
        </is>
      </c>
      <c r="I29" t="n">
        <v>1.7</v>
      </c>
      <c r="J29" t="n">
        <v>0</v>
      </c>
      <c r="K29" t="n">
        <v>0</v>
      </c>
      <c r="L29" t="n">
        <v>0</v>
      </c>
      <c r="M29" t="n">
        <v>0</v>
      </c>
      <c r="N29" t="n">
        <v>0</v>
      </c>
      <c r="O29" t="n">
        <v>0</v>
      </c>
      <c r="P29" t="n">
        <v>0</v>
      </c>
      <c r="Q29" t="n">
        <v>0</v>
      </c>
      <c r="R29" t="n">
        <v>0</v>
      </c>
      <c r="S29" t="n">
        <v>0</v>
      </c>
      <c r="T29" t="n">
        <v>0</v>
      </c>
      <c r="U29" s="2" t="inlineStr"/>
    </row>
    <row r="30" ht="15" customHeight="1">
      <c r="A30" t="inlineStr">
        <is>
          <t>A 33428-2025</t>
        </is>
      </c>
      <c r="B30" t="inlineStr">
        <is>
          <t>avverkningsanmälan</t>
        </is>
      </c>
      <c r="C30" t="inlineStr">
        <is>
          <t>Avverkning för att bevara och utveckla /försöksver</t>
        </is>
      </c>
      <c r="D30" s="1" t="n">
        <v>45839</v>
      </c>
      <c r="E30" s="1" t="n">
        <v>46220</v>
      </c>
      <c r="F30" t="inlineStr">
        <is>
          <t>STOCKHOLMS LÄN</t>
        </is>
      </c>
      <c r="G30" t="inlineStr">
        <is>
          <t>SALEM</t>
        </is>
      </c>
      <c r="I30" t="n">
        <v>2.2</v>
      </c>
      <c r="J30" t="n">
        <v>0</v>
      </c>
      <c r="K30" t="n">
        <v>0</v>
      </c>
      <c r="L30" t="n">
        <v>0</v>
      </c>
      <c r="M30" t="n">
        <v>0</v>
      </c>
      <c r="N30" t="n">
        <v>0</v>
      </c>
      <c r="O30" t="n">
        <v>0</v>
      </c>
      <c r="P30" t="n">
        <v>0</v>
      </c>
      <c r="Q30" t="n">
        <v>0</v>
      </c>
      <c r="R30" t="n">
        <v>0</v>
      </c>
      <c r="S30" t="n">
        <v>0</v>
      </c>
      <c r="T30" t="n">
        <v>0</v>
      </c>
      <c r="U30" s="2" t="inlineStr"/>
    </row>
    <row r="31" ht="15" customHeight="1">
      <c r="A31" t="inlineStr">
        <is>
          <t>A 33439-2025</t>
        </is>
      </c>
      <c r="B31" t="inlineStr">
        <is>
          <t>avverkningsanmälan</t>
        </is>
      </c>
      <c r="C31" t="inlineStr">
        <is>
          <t>Avverkning för att bevara och utveckla /försöksver</t>
        </is>
      </c>
      <c r="D31" s="1" t="n">
        <v>45839</v>
      </c>
      <c r="E31" s="1" t="n">
        <v>46220</v>
      </c>
      <c r="F31" t="inlineStr">
        <is>
          <t>STOCKHOLMS LÄN</t>
        </is>
      </c>
      <c r="G31" t="inlineStr">
        <is>
          <t>SALEM</t>
        </is>
      </c>
      <c r="I31" t="n">
        <v>2.9</v>
      </c>
      <c r="J31" t="n">
        <v>0</v>
      </c>
      <c r="K31" t="n">
        <v>0</v>
      </c>
      <c r="L31" t="n">
        <v>0</v>
      </c>
      <c r="M31" t="n">
        <v>0</v>
      </c>
      <c r="N31" t="n">
        <v>0</v>
      </c>
      <c r="O31" t="n">
        <v>0</v>
      </c>
      <c r="P31" t="n">
        <v>0</v>
      </c>
      <c r="Q31" t="n">
        <v>0</v>
      </c>
      <c r="R31" t="n">
        <v>0</v>
      </c>
      <c r="S31" t="n">
        <v>0</v>
      </c>
      <c r="T31" t="n">
        <v>0</v>
      </c>
      <c r="U31" s="2" t="inlineStr"/>
    </row>
    <row r="32" ht="15" customHeight="1">
      <c r="A32" t="inlineStr">
        <is>
          <t>A 33460-2025</t>
        </is>
      </c>
      <c r="B32" t="inlineStr">
        <is>
          <t>avverkningsanmälan</t>
        </is>
      </c>
      <c r="C32" t="inlineStr">
        <is>
          <t>Avverkning för att bevara och utveckla /försöksver</t>
        </is>
      </c>
      <c r="D32" s="1" t="n">
        <v>45839</v>
      </c>
      <c r="E32" s="1" t="n">
        <v>46220</v>
      </c>
      <c r="F32" t="inlineStr">
        <is>
          <t>STOCKHOLMS LÄN</t>
        </is>
      </c>
      <c r="G32" t="inlineStr">
        <is>
          <t>SALEM</t>
        </is>
      </c>
      <c r="I32" t="n">
        <v>2.1</v>
      </c>
      <c r="J32" t="n">
        <v>0</v>
      </c>
      <c r="K32" t="n">
        <v>0</v>
      </c>
      <c r="L32" t="n">
        <v>0</v>
      </c>
      <c r="M32" t="n">
        <v>0</v>
      </c>
      <c r="N32" t="n">
        <v>0</v>
      </c>
      <c r="O32" t="n">
        <v>0</v>
      </c>
      <c r="P32" t="n">
        <v>0</v>
      </c>
      <c r="Q32" t="n">
        <v>0</v>
      </c>
      <c r="R32" t="n">
        <v>0</v>
      </c>
      <c r="S32" t="n">
        <v>0</v>
      </c>
      <c r="T32" t="n">
        <v>0</v>
      </c>
      <c r="U32" s="2" t="inlineStr"/>
    </row>
    <row r="33" ht="15" customHeight="1">
      <c r="A33" t="inlineStr">
        <is>
          <t>A 33465-2025</t>
        </is>
      </c>
      <c r="B33" t="inlineStr">
        <is>
          <t>avverkningsanmälan</t>
        </is>
      </c>
      <c r="C33" t="inlineStr">
        <is>
          <t>Avverkning för att bevara och utveckla /försöksver</t>
        </is>
      </c>
      <c r="D33" s="1" t="n">
        <v>45839</v>
      </c>
      <c r="E33" s="1" t="n">
        <v>46220</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s="2" t="inlineStr"/>
    </row>
    <row r="34" ht="15" customHeight="1">
      <c r="A34" t="inlineStr">
        <is>
          <t>A 32946-2025</t>
        </is>
      </c>
      <c r="B34" t="inlineStr">
        <is>
          <t>avverkningsanmälan</t>
        </is>
      </c>
      <c r="C34" t="inlineStr">
        <is>
          <t>Avverkning för att bevara och utveckla /försöksver</t>
        </is>
      </c>
      <c r="D34" s="1" t="n">
        <v>45839</v>
      </c>
      <c r="E34" s="1" t="n">
        <v>46220</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s="2" t="inlineStr"/>
    </row>
    <row r="35" ht="15" customHeight="1">
      <c r="A35" t="inlineStr">
        <is>
          <t>A 33421-2025</t>
        </is>
      </c>
      <c r="B35" t="inlineStr">
        <is>
          <t>avverkningsanmälan</t>
        </is>
      </c>
      <c r="C35" t="inlineStr">
        <is>
          <t>Avverkning för att bevara och utveckla /försöksver</t>
        </is>
      </c>
      <c r="D35" s="1" t="n">
        <v>45839</v>
      </c>
      <c r="E35" s="1" t="n">
        <v>46220</v>
      </c>
      <c r="F35" t="inlineStr">
        <is>
          <t>STOCKHOLMS LÄN</t>
        </is>
      </c>
      <c r="G35" t="inlineStr">
        <is>
          <t>SALEM</t>
        </is>
      </c>
      <c r="I35" t="n">
        <v>1</v>
      </c>
      <c r="J35" t="n">
        <v>0</v>
      </c>
      <c r="K35" t="n">
        <v>0</v>
      </c>
      <c r="L35" t="n">
        <v>0</v>
      </c>
      <c r="M35" t="n">
        <v>0</v>
      </c>
      <c r="N35" t="n">
        <v>0</v>
      </c>
      <c r="O35" t="n">
        <v>0</v>
      </c>
      <c r="P35" t="n">
        <v>0</v>
      </c>
      <c r="Q35" t="n">
        <v>0</v>
      </c>
      <c r="R35" t="n">
        <v>0</v>
      </c>
      <c r="S35" t="n">
        <v>0</v>
      </c>
      <c r="T35" t="n">
        <v>0</v>
      </c>
      <c r="U35" s="2" t="inlineStr"/>
    </row>
    <row r="36" ht="15" customHeight="1">
      <c r="A36" t="inlineStr">
        <is>
          <t>A 33446-2025</t>
        </is>
      </c>
      <c r="B36" t="inlineStr">
        <is>
          <t>avverkningsanmälan</t>
        </is>
      </c>
      <c r="C36" t="inlineStr">
        <is>
          <t>Avverkning för att bevara och utveckla /försöksver</t>
        </is>
      </c>
      <c r="D36" s="1" t="n">
        <v>45839</v>
      </c>
      <c r="E36" s="1" t="n">
        <v>46220</v>
      </c>
      <c r="F36" t="inlineStr">
        <is>
          <t>STOCKHOLMS LÄN</t>
        </is>
      </c>
      <c r="G36" t="inlineStr">
        <is>
          <t>SALEM</t>
        </is>
      </c>
      <c r="I36" t="n">
        <v>9.4</v>
      </c>
      <c r="J36" t="n">
        <v>0</v>
      </c>
      <c r="K36" t="n">
        <v>0</v>
      </c>
      <c r="L36" t="n">
        <v>0</v>
      </c>
      <c r="M36" t="n">
        <v>0</v>
      </c>
      <c r="N36" t="n">
        <v>0</v>
      </c>
      <c r="O36" t="n">
        <v>0</v>
      </c>
      <c r="P36" t="n">
        <v>0</v>
      </c>
      <c r="Q36" t="n">
        <v>0</v>
      </c>
      <c r="R36" t="n">
        <v>0</v>
      </c>
      <c r="S36" t="n">
        <v>0</v>
      </c>
      <c r="T36" t="n">
        <v>0</v>
      </c>
      <c r="U36" s="2" t="inlineStr"/>
    </row>
    <row r="37" ht="15" customHeight="1">
      <c r="A37" t="inlineStr">
        <is>
          <t>A 29982-2025</t>
        </is>
      </c>
      <c r="B37" t="inlineStr">
        <is>
          <t>avverkningsanmälan</t>
        </is>
      </c>
      <c r="C37" t="inlineStr">
        <is>
          <t>Avverkning för att bevara och utveckla /försöksver</t>
        </is>
      </c>
      <c r="D37" s="1" t="n">
        <v>45826</v>
      </c>
      <c r="E37" s="1" t="n">
        <v>46220</v>
      </c>
      <c r="F37" t="inlineStr">
        <is>
          <t>STOCKHOLMS LÄN</t>
        </is>
      </c>
      <c r="G37" t="inlineStr">
        <is>
          <t>SALEM</t>
        </is>
      </c>
      <c r="I37" t="n">
        <v>1.5</v>
      </c>
      <c r="J37" t="n">
        <v>0</v>
      </c>
      <c r="K37" t="n">
        <v>0</v>
      </c>
      <c r="L37" t="n">
        <v>0</v>
      </c>
      <c r="M37" t="n">
        <v>0</v>
      </c>
      <c r="N37" t="n">
        <v>0</v>
      </c>
      <c r="O37" t="n">
        <v>0</v>
      </c>
      <c r="P37" t="n">
        <v>0</v>
      </c>
      <c r="Q37" t="n">
        <v>0</v>
      </c>
      <c r="R37" t="n">
        <v>0</v>
      </c>
      <c r="S37" t="n">
        <v>0</v>
      </c>
      <c r="T37" t="n">
        <v>0</v>
      </c>
      <c r="U37" s="2" t="inlineStr"/>
    </row>
    <row r="38" ht="15" customHeight="1">
      <c r="A38" t="inlineStr">
        <is>
          <t>A 60731-2025</t>
        </is>
      </c>
      <c r="B38" t="inlineStr">
        <is>
          <t>avverkningsanmälan</t>
        </is>
      </c>
      <c r="C38" t="inlineStr">
        <is>
          <t>Föryngringsavverkning</t>
        </is>
      </c>
      <c r="D38" s="1" t="n">
        <v>45995</v>
      </c>
      <c r="E38" s="1" t="n">
        <v>46220</v>
      </c>
      <c r="F38" t="inlineStr">
        <is>
          <t>STOCKHOLMS LÄN</t>
        </is>
      </c>
      <c r="G38" t="inlineStr">
        <is>
          <t>SALEM</t>
        </is>
      </c>
      <c r="I38" t="n">
        <v>0.8</v>
      </c>
      <c r="J38" t="n">
        <v>0</v>
      </c>
      <c r="K38" t="n">
        <v>0</v>
      </c>
      <c r="L38" t="n">
        <v>0</v>
      </c>
      <c r="M38" t="n">
        <v>0</v>
      </c>
      <c r="N38" t="n">
        <v>0</v>
      </c>
      <c r="O38" t="n">
        <v>0</v>
      </c>
      <c r="P38" t="n">
        <v>0</v>
      </c>
      <c r="Q38" t="n">
        <v>0</v>
      </c>
      <c r="R38" t="n">
        <v>0</v>
      </c>
      <c r="S38" t="n">
        <v>0</v>
      </c>
      <c r="T38" t="n">
        <v>0</v>
      </c>
      <c r="U38" s="2" t="inlineStr"/>
    </row>
    <row r="39" ht="15" customHeight="1">
      <c r="A39" t="inlineStr">
        <is>
          <t>A 60733-2025</t>
        </is>
      </c>
      <c r="B39" t="inlineStr">
        <is>
          <t>avverkningsanmälan</t>
        </is>
      </c>
      <c r="C39" t="inlineStr">
        <is>
          <t>Föryngringsavverkning</t>
        </is>
      </c>
      <c r="D39" s="1" t="n">
        <v>45995</v>
      </c>
      <c r="E39" s="1" t="n">
        <v>46220</v>
      </c>
      <c r="F39" t="inlineStr">
        <is>
          <t>STOCKHOLMS LÄN</t>
        </is>
      </c>
      <c r="G39" t="inlineStr">
        <is>
          <t>SALEM</t>
        </is>
      </c>
      <c r="I39" t="n">
        <v>1.7</v>
      </c>
      <c r="J39" t="n">
        <v>0</v>
      </c>
      <c r="K39" t="n">
        <v>0</v>
      </c>
      <c r="L39" t="n">
        <v>0</v>
      </c>
      <c r="M39" t="n">
        <v>0</v>
      </c>
      <c r="N39" t="n">
        <v>0</v>
      </c>
      <c r="O39" t="n">
        <v>0</v>
      </c>
      <c r="P39" t="n">
        <v>0</v>
      </c>
      <c r="Q39" t="n">
        <v>0</v>
      </c>
      <c r="R39" t="n">
        <v>0</v>
      </c>
      <c r="S39" t="n">
        <v>0</v>
      </c>
      <c r="T39" t="n">
        <v>0</v>
      </c>
      <c r="U39" s="2" t="inlineStr"/>
    </row>
    <row r="40" ht="15" customHeight="1">
      <c r="A40" t="inlineStr">
        <is>
          <t>A 33281-2025</t>
        </is>
      </c>
      <c r="B40" t="inlineStr">
        <is>
          <t>avverkningsanmälan</t>
        </is>
      </c>
      <c r="C40" t="inlineStr">
        <is>
          <t>Avverkning för att bevara och utveckla /försöksver</t>
        </is>
      </c>
      <c r="D40" s="1" t="n">
        <v>45839</v>
      </c>
      <c r="E40" s="1" t="n">
        <v>46220</v>
      </c>
      <c r="F40" t="inlineStr">
        <is>
          <t>STOCKHOLMS LÄN</t>
        </is>
      </c>
      <c r="G40" t="inlineStr">
        <is>
          <t>SALEM</t>
        </is>
      </c>
      <c r="I40" t="n">
        <v>2.6</v>
      </c>
      <c r="J40" t="n">
        <v>0</v>
      </c>
      <c r="K40" t="n">
        <v>0</v>
      </c>
      <c r="L40" t="n">
        <v>0</v>
      </c>
      <c r="M40" t="n">
        <v>0</v>
      </c>
      <c r="N40" t="n">
        <v>0</v>
      </c>
      <c r="O40" t="n">
        <v>0</v>
      </c>
      <c r="P40" t="n">
        <v>0</v>
      </c>
      <c r="Q40" t="n">
        <v>0</v>
      </c>
      <c r="R40" t="n">
        <v>0</v>
      </c>
      <c r="S40" t="n">
        <v>0</v>
      </c>
      <c r="T40" t="n">
        <v>0</v>
      </c>
      <c r="U40" s="2" t="inlineStr"/>
    </row>
    <row r="41" ht="15" customHeight="1">
      <c r="A41" t="inlineStr">
        <is>
          <t>A 46919-2023</t>
        </is>
      </c>
      <c r="B41" t="inlineStr">
        <is>
          <t>avverkningsanmälan</t>
        </is>
      </c>
      <c r="C41" t="inlineStr">
        <is>
          <t>Föryngringsavverkning</t>
        </is>
      </c>
      <c r="D41" s="1" t="n">
        <v>45201</v>
      </c>
      <c r="E41" s="1" t="n">
        <v>46220</v>
      </c>
      <c r="F41" t="inlineStr">
        <is>
          <t>STOCKHOLMS LÄN</t>
        </is>
      </c>
      <c r="G41" t="inlineStr">
        <is>
          <t>SALEM</t>
        </is>
      </c>
      <c r="H41" t="inlineStr">
        <is>
          <t>Kommuner</t>
        </is>
      </c>
      <c r="I41" t="n">
        <v>1.3</v>
      </c>
      <c r="J41" t="n">
        <v>0</v>
      </c>
      <c r="K41" t="n">
        <v>0</v>
      </c>
      <c r="L41" t="n">
        <v>0</v>
      </c>
      <c r="M41" t="n">
        <v>0</v>
      </c>
      <c r="N41" t="n">
        <v>0</v>
      </c>
      <c r="O41" t="n">
        <v>0</v>
      </c>
      <c r="P41" t="n">
        <v>0</v>
      </c>
      <c r="Q41" t="n">
        <v>0</v>
      </c>
      <c r="R41" t="n">
        <v>0</v>
      </c>
      <c r="S41" t="n">
        <v>0</v>
      </c>
      <c r="T41" t="n">
        <v>0</v>
      </c>
      <c r="U41" s="2" t="inlineStr"/>
    </row>
    <row r="42" ht="15" customHeight="1">
      <c r="A42" t="inlineStr">
        <is>
          <t>A 504-2023</t>
        </is>
      </c>
      <c r="B42" t="inlineStr">
        <is>
          <t>avverkningsanmälan</t>
        </is>
      </c>
      <c r="C42" t="inlineStr">
        <is>
          <t>Föryngringsavverkning</t>
        </is>
      </c>
      <c r="D42" s="1" t="n">
        <v>44930</v>
      </c>
      <c r="E42" s="1" t="n">
        <v>46220</v>
      </c>
      <c r="F42" t="inlineStr">
        <is>
          <t>STOCKHOLMS LÄN</t>
        </is>
      </c>
      <c r="G42" t="inlineStr">
        <is>
          <t>SALEM</t>
        </is>
      </c>
      <c r="H42" t="inlineStr">
        <is>
          <t>Kommuner</t>
        </is>
      </c>
      <c r="I42" t="n">
        <v>2</v>
      </c>
      <c r="J42" t="n">
        <v>0</v>
      </c>
      <c r="K42" t="n">
        <v>0</v>
      </c>
      <c r="L42" t="n">
        <v>0</v>
      </c>
      <c r="M42" t="n">
        <v>0</v>
      </c>
      <c r="N42" t="n">
        <v>0</v>
      </c>
      <c r="O42" t="n">
        <v>0</v>
      </c>
      <c r="P42" t="n">
        <v>0</v>
      </c>
      <c r="Q42" t="n">
        <v>0</v>
      </c>
      <c r="R42" t="n">
        <v>0</v>
      </c>
      <c r="S42" t="n">
        <v>0</v>
      </c>
      <c r="T42" t="n">
        <v>0</v>
      </c>
      <c r="U42" s="2" t="inlineStr"/>
    </row>
    <row r="43" ht="15" customHeight="1">
      <c r="A43" t="inlineStr">
        <is>
          <t>A 58592-2023</t>
        </is>
      </c>
      <c r="B43" t="inlineStr">
        <is>
          <t>avverkningsanmälan</t>
        </is>
      </c>
      <c r="C43" t="inlineStr">
        <is>
          <t>Föryngringsavverkning</t>
        </is>
      </c>
      <c r="D43" s="1" t="n">
        <v>45251</v>
      </c>
      <c r="E43" s="1" t="n">
        <v>46220</v>
      </c>
      <c r="F43" t="inlineStr">
        <is>
          <t>STOCKHOLMS LÄN</t>
        </is>
      </c>
      <c r="G43" t="inlineStr">
        <is>
          <t>SALEM</t>
        </is>
      </c>
      <c r="I43" t="n">
        <v>2.1</v>
      </c>
      <c r="J43" t="n">
        <v>0</v>
      </c>
      <c r="K43" t="n">
        <v>0</v>
      </c>
      <c r="L43" t="n">
        <v>0</v>
      </c>
      <c r="M43" t="n">
        <v>0</v>
      </c>
      <c r="N43" t="n">
        <v>0</v>
      </c>
      <c r="O43" t="n">
        <v>0</v>
      </c>
      <c r="P43" t="n">
        <v>0</v>
      </c>
      <c r="Q43" t="n">
        <v>0</v>
      </c>
      <c r="R43" t="n">
        <v>0</v>
      </c>
      <c r="S43" t="n">
        <v>0</v>
      </c>
      <c r="T43" t="n">
        <v>0</v>
      </c>
      <c r="U43" s="2" t="inlineStr"/>
    </row>
    <row r="44" ht="15" customHeight="1">
      <c r="A44" t="inlineStr">
        <is>
          <t>A 61336-2022</t>
        </is>
      </c>
      <c r="B44" t="inlineStr">
        <is>
          <t>avverkningsanmälan</t>
        </is>
      </c>
      <c r="C44" t="inlineStr">
        <is>
          <t>Föryngringsavverkning</t>
        </is>
      </c>
      <c r="D44" s="1" t="n">
        <v>44915</v>
      </c>
      <c r="E44" s="1" t="n">
        <v>46220</v>
      </c>
      <c r="F44" t="inlineStr">
        <is>
          <t>STOCKHOLMS LÄN</t>
        </is>
      </c>
      <c r="G44" t="inlineStr">
        <is>
          <t>SALEM</t>
        </is>
      </c>
      <c r="H44" t="inlineStr">
        <is>
          <t>Kommuner</t>
        </is>
      </c>
      <c r="I44" t="n">
        <v>5.6</v>
      </c>
      <c r="J44" t="n">
        <v>0</v>
      </c>
      <c r="K44" t="n">
        <v>0</v>
      </c>
      <c r="L44" t="n">
        <v>0</v>
      </c>
      <c r="M44" t="n">
        <v>0</v>
      </c>
      <c r="N44" t="n">
        <v>0</v>
      </c>
      <c r="O44" t="n">
        <v>0</v>
      </c>
      <c r="P44" t="n">
        <v>0</v>
      </c>
      <c r="Q44" t="n">
        <v>0</v>
      </c>
      <c r="R44" t="n">
        <v>0</v>
      </c>
      <c r="S44" t="n">
        <v>0</v>
      </c>
      <c r="T44" t="n">
        <v>0</v>
      </c>
      <c r="U44" s="2" t="inlineStr"/>
    </row>
    <row r="45" ht="15" customHeight="1">
      <c r="A45" t="inlineStr">
        <is>
          <t>A 23992-2023</t>
        </is>
      </c>
      <c r="B45" t="inlineStr">
        <is>
          <t>avverkningsanmälan</t>
        </is>
      </c>
      <c r="C45" t="inlineStr">
        <is>
          <t>Föryngringsavverkning</t>
        </is>
      </c>
      <c r="D45" s="1" t="n">
        <v>45078</v>
      </c>
      <c r="E45" s="1" t="n">
        <v>46220</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s="2" t="inlineStr"/>
    </row>
    <row r="46" ht="15" customHeight="1">
      <c r="A46" t="inlineStr">
        <is>
          <t>A 9533-2024</t>
        </is>
      </c>
      <c r="B46" t="inlineStr">
        <is>
          <t>avverkningsanmälan</t>
        </is>
      </c>
      <c r="C46" t="inlineStr">
        <is>
          <t>Föryngringsavverkning</t>
        </is>
      </c>
      <c r="D46" s="1" t="n">
        <v>45359</v>
      </c>
      <c r="E46" s="1" t="n">
        <v>46220</v>
      </c>
      <c r="F46" t="inlineStr">
        <is>
          <t>STOCKHOLMS LÄN</t>
        </is>
      </c>
      <c r="G46" t="inlineStr">
        <is>
          <t>SALEM</t>
        </is>
      </c>
      <c r="H46" t="inlineStr">
        <is>
          <t>Kommuner</t>
        </is>
      </c>
      <c r="I46" t="n">
        <v>2.6</v>
      </c>
      <c r="J46" t="n">
        <v>0</v>
      </c>
      <c r="K46" t="n">
        <v>0</v>
      </c>
      <c r="L46" t="n">
        <v>0</v>
      </c>
      <c r="M46" t="n">
        <v>0</v>
      </c>
      <c r="N46" t="n">
        <v>0</v>
      </c>
      <c r="O46" t="n">
        <v>0</v>
      </c>
      <c r="P46" t="n">
        <v>0</v>
      </c>
      <c r="Q46" t="n">
        <v>0</v>
      </c>
      <c r="R46" t="n">
        <v>0</v>
      </c>
      <c r="S46" t="n">
        <v>0</v>
      </c>
      <c r="T46" t="n">
        <v>0</v>
      </c>
      <c r="U46" s="2" t="inlineStr"/>
    </row>
    <row r="47" ht="15" customHeight="1">
      <c r="A47" t="inlineStr">
        <is>
          <t>A 51720-2023</t>
        </is>
      </c>
      <c r="B47" t="inlineStr">
        <is>
          <t>avverkningsanmälan</t>
        </is>
      </c>
      <c r="C47" t="inlineStr">
        <is>
          <t>Avverkning för att bevara och utveckla /försöksver</t>
        </is>
      </c>
      <c r="D47" s="1" t="n">
        <v>45222</v>
      </c>
      <c r="E47" s="1" t="n">
        <v>46220</v>
      </c>
      <c r="F47" t="inlineStr">
        <is>
          <t>STOCKHOLMS LÄN</t>
        </is>
      </c>
      <c r="G47" t="inlineStr">
        <is>
          <t>SALEM</t>
        </is>
      </c>
      <c r="I47" t="n">
        <v>0.4</v>
      </c>
      <c r="J47" t="n">
        <v>0</v>
      </c>
      <c r="K47" t="n">
        <v>0</v>
      </c>
      <c r="L47" t="n">
        <v>0</v>
      </c>
      <c r="M47" t="n">
        <v>0</v>
      </c>
      <c r="N47" t="n">
        <v>0</v>
      </c>
      <c r="O47" t="n">
        <v>0</v>
      </c>
      <c r="P47" t="n">
        <v>0</v>
      </c>
      <c r="Q47" t="n">
        <v>0</v>
      </c>
      <c r="R47" t="n">
        <v>0</v>
      </c>
      <c r="S47" t="n">
        <v>0</v>
      </c>
      <c r="T47" t="n">
        <v>0</v>
      </c>
      <c r="U47" s="2" t="inlineStr"/>
    </row>
    <row r="48">
      <c r="A48" t="inlineStr">
        <is>
          <t>S 1560-2023</t>
        </is>
      </c>
      <c r="B48" t="inlineStr">
        <is>
          <t>samrådsanmälan</t>
        </is>
      </c>
      <c r="C48" t="inlineStr">
        <is>
          <t>Annan skogsbruksåtgärd</t>
        </is>
      </c>
      <c r="D48" s="1" t="n">
        <v>45055</v>
      </c>
      <c r="E48" s="1" t="n">
        <v>46220</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2026-07-17T01:42:45Z</dcterms:created>
  <dcterms:modified xmlns:dcterms="http://purl.org/dc/terms/" xmlns:xsi="http://www.w3.org/2001/XMLSchema-instance" xsi:type="dcterms:W3CDTF">2026-07-17T01:42:46Z</dcterms:modified>
</cp:coreProperties>
</file>