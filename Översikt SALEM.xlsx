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46919-2023</t>
        </is>
      </c>
      <c r="B9" t="inlineStr">
        <is>
          <t>avverkningsanmälan</t>
        </is>
      </c>
      <c r="C9" t="inlineStr">
        <is>
          <t>Föryngringsavverkning</t>
        </is>
      </c>
      <c r="D9" s="1" t="n">
        <v>45201</v>
      </c>
      <c r="E9" s="1" t="n">
        <v>46315</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46315</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2987-2023</t>
        </is>
      </c>
      <c r="B11" t="inlineStr">
        <is>
          <t>avverkningsanmälan</t>
        </is>
      </c>
      <c r="C11" t="inlineStr">
        <is>
          <t>Föryngringsavverkning</t>
        </is>
      </c>
      <c r="D11" s="1" t="n">
        <v>44945</v>
      </c>
      <c r="E11" s="1" t="n">
        <v>46315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A 33473-2025</t>
        </is>
      </c>
      <c r="B12" t="inlineStr">
        <is>
          <t>avverkningsanmälan</t>
        </is>
      </c>
      <c r="C12" t="inlineStr">
        <is>
          <t>Avverkning för att bevara och utveckla /försöksver</t>
        </is>
      </c>
      <c r="D12" s="1" t="n">
        <v>45839</v>
      </c>
      <c r="E12" s="1" t="n">
        <v>46315</v>
      </c>
      <c r="F12" t="inlineStr">
        <is>
          <t>STOCKHOLMS LÄN</t>
        </is>
      </c>
      <c r="G12" t="inlineStr">
        <is>
          <t>SALEM</t>
        </is>
      </c>
      <c r="I12" t="n">
        <v>5.7</v>
      </c>
      <c r="J12" t="n">
        <v>0</v>
      </c>
      <c r="K12" t="n">
        <v>0</v>
      </c>
      <c r="L12" t="n">
        <v>0</v>
      </c>
      <c r="M12" t="n">
        <v>1</v>
      </c>
      <c r="N12" t="n">
        <v>0</v>
      </c>
      <c r="O12" t="n">
        <v>0</v>
      </c>
      <c r="P12" t="n">
        <v>0</v>
      </c>
      <c r="Q12" t="n">
        <v>1</v>
      </c>
      <c r="R12" t="n">
        <v>1</v>
      </c>
      <c r="S12" t="n">
        <v>1</v>
      </c>
      <c r="T12" t="n">
        <v>1</v>
      </c>
      <c r="U12" t="n">
        <v>1</v>
      </c>
      <c r="V12" s="2" t="inlineStr">
        <is>
          <t>Igelkott</t>
        </is>
      </c>
      <c r="W12">
        <f>HYPERLINK("https://klasma.github.io/Logging_0128/artfynd/A 33473-2025 artfynd.xlsx", "A 33473-2025")</f>
        <v/>
      </c>
      <c r="X12">
        <f>HYPERLINK("https://klasma.github.io/Logging_0128/kartor/A 33473-2025 karta.png", "A 33473-2025")</f>
        <v/>
      </c>
      <c r="Y12">
        <f>HYPERLINK("https://klasma.github.io/Logging_0128/kartor_geotiff/A 33473-2025 georefererad karta.tif", "A 33473-2025")</f>
        <v/>
      </c>
      <c r="AA12">
        <f>HYPERLINK("https://klasma.github.io/Logging_0128/klagomål/A 33473-2025 FSC-klagomål.docx", "A 33473-2025")</f>
        <v/>
      </c>
      <c r="AB12">
        <f>HYPERLINK("https://klasma.github.io/Logging_0128/klagomålsmail/A 33473-2025 FSC-klagomål mail.docx", "A 33473-2025")</f>
        <v/>
      </c>
      <c r="AC12">
        <f>HYPERLINK("https://klasma.github.io/Logging_0128/tillsyn/A 33473-2025 tillsynsbegäran.docx", "A 33473-2025")</f>
        <v/>
      </c>
      <c r="AD12">
        <f>HYPERLINK("https://klasma.github.io/Logging_0128/tillsynsmail/A 33473-2025 tillsynsbegäran mail.docx", "A 33473-2025")</f>
        <v/>
      </c>
    </row>
    <row r="13" ht="15" customHeight="1">
      <c r="A13" t="inlineStr">
        <is>
          <t>S 2180-2023</t>
        </is>
      </c>
      <c r="B13" t="inlineStr">
        <is>
          <t>samrådsanmälan</t>
        </is>
      </c>
      <c r="C13" t="inlineStr">
        <is>
          <t>Annan skogsbruksåtgärd</t>
        </is>
      </c>
      <c r="D13" s="1" t="n">
        <v>45098</v>
      </c>
      <c r="E13" s="1" t="n">
        <v>46315</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58592-2023</t>
        </is>
      </c>
      <c r="B14" t="inlineStr">
        <is>
          <t>avverkningsanmälan</t>
        </is>
      </c>
      <c r="C14" t="inlineStr">
        <is>
          <t>Föryngringsavverkning</t>
        </is>
      </c>
      <c r="D14" s="1" t="n">
        <v>45251</v>
      </c>
      <c r="E14" s="1" t="n">
        <v>46315</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46315</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61336-2022</t>
        </is>
      </c>
      <c r="B16" t="inlineStr">
        <is>
          <t>avverkningsanmälan</t>
        </is>
      </c>
      <c r="C16" t="inlineStr">
        <is>
          <t>Föryngringsavverkning</t>
        </is>
      </c>
      <c r="D16" s="1" t="n">
        <v>44915</v>
      </c>
      <c r="E16" s="1" t="n">
        <v>46315</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46315</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46315</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51720-2023</t>
        </is>
      </c>
      <c r="B19" t="inlineStr">
        <is>
          <t>avverkningsanmälan</t>
        </is>
      </c>
      <c r="C19" t="inlineStr">
        <is>
          <t>Avverkning för att bevara och utveckla /försöksver</t>
        </is>
      </c>
      <c r="D19" s="1" t="n">
        <v>45222</v>
      </c>
      <c r="E19" s="1" t="n">
        <v>46315</v>
      </c>
      <c r="F19" t="inlineStr">
        <is>
          <t>STOCKHOLMS LÄN</t>
        </is>
      </c>
      <c r="G19" t="inlineStr">
        <is>
          <t>SALEM</t>
        </is>
      </c>
      <c r="I19" t="n">
        <v>0.4</v>
      </c>
      <c r="J19" t="n">
        <v>0</v>
      </c>
      <c r="K19" t="n">
        <v>0</v>
      </c>
      <c r="L19" t="n">
        <v>0</v>
      </c>
      <c r="M19" t="n">
        <v>0</v>
      </c>
      <c r="N19" t="n">
        <v>0</v>
      </c>
      <c r="O19" t="n">
        <v>0</v>
      </c>
      <c r="P19" t="n">
        <v>0</v>
      </c>
      <c r="Q19" t="n">
        <v>0</v>
      </c>
      <c r="R19" t="n">
        <v>0</v>
      </c>
      <c r="S19" t="n">
        <v>0</v>
      </c>
      <c r="T19" t="n">
        <v>0</v>
      </c>
      <c r="U19" t="n">
        <v>0</v>
      </c>
      <c r="V19" s="2" t="inlineStr"/>
    </row>
    <row r="20" ht="15" customHeight="1">
      <c r="A20" t="inlineStr">
        <is>
          <t>A 504-2023</t>
        </is>
      </c>
      <c r="B20" t="inlineStr">
        <is>
          <t>avverkningsanmälan</t>
        </is>
      </c>
      <c r="C20" t="inlineStr">
        <is>
          <t>Föryngringsavverkning</t>
        </is>
      </c>
      <c r="D20" s="1" t="n">
        <v>44930</v>
      </c>
      <c r="E20" s="1" t="n">
        <v>46315</v>
      </c>
      <c r="F20" t="inlineStr">
        <is>
          <t>STOCKHOLMS LÄN</t>
        </is>
      </c>
      <c r="G20" t="inlineStr">
        <is>
          <t>SALEM</t>
        </is>
      </c>
      <c r="H20" t="inlineStr">
        <is>
          <t>Kommuner</t>
        </is>
      </c>
      <c r="I20" t="n">
        <v>2</v>
      </c>
      <c r="J20" t="n">
        <v>0</v>
      </c>
      <c r="K20" t="n">
        <v>0</v>
      </c>
      <c r="L20" t="n">
        <v>0</v>
      </c>
      <c r="M20" t="n">
        <v>0</v>
      </c>
      <c r="N20" t="n">
        <v>0</v>
      </c>
      <c r="O20" t="n">
        <v>0</v>
      </c>
      <c r="P20" t="n">
        <v>0</v>
      </c>
      <c r="Q20" t="n">
        <v>0</v>
      </c>
      <c r="R20" t="n">
        <v>0</v>
      </c>
      <c r="S20" t="n">
        <v>0</v>
      </c>
      <c r="T20" t="n">
        <v>0</v>
      </c>
      <c r="U20" t="n">
        <v>0</v>
      </c>
      <c r="V20" s="2" t="inlineStr"/>
    </row>
    <row r="21" ht="15" customHeight="1">
      <c r="A21" t="inlineStr">
        <is>
          <t>A 9533-2024</t>
        </is>
      </c>
      <c r="B21" t="inlineStr">
        <is>
          <t>avverkningsanmälan</t>
        </is>
      </c>
      <c r="C21" t="inlineStr">
        <is>
          <t>Föryngringsavverkning</t>
        </is>
      </c>
      <c r="D21" s="1" t="n">
        <v>45359</v>
      </c>
      <c r="E21" s="1" t="n">
        <v>46315</v>
      </c>
      <c r="F21" t="inlineStr">
        <is>
          <t>STOCKHOLMS LÄN</t>
        </is>
      </c>
      <c r="G21" t="inlineStr">
        <is>
          <t>SALEM</t>
        </is>
      </c>
      <c r="H21" t="inlineStr">
        <is>
          <t>Kommuner</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23992-2023</t>
        </is>
      </c>
      <c r="B22" t="inlineStr">
        <is>
          <t>avverkningsanmälan</t>
        </is>
      </c>
      <c r="C22" t="inlineStr">
        <is>
          <t>Föryngringsavverkning</t>
        </is>
      </c>
      <c r="D22" s="1" t="n">
        <v>45078</v>
      </c>
      <c r="E22" s="1" t="n">
        <v>46315</v>
      </c>
      <c r="F22" t="inlineStr">
        <is>
          <t>STOCKHOLMS LÄN</t>
        </is>
      </c>
      <c r="G22" t="inlineStr">
        <is>
          <t>SALEM</t>
        </is>
      </c>
      <c r="H22" t="inlineStr">
        <is>
          <t>Kommuner</t>
        </is>
      </c>
      <c r="I22" t="n">
        <v>0.7</v>
      </c>
      <c r="J22" t="n">
        <v>0</v>
      </c>
      <c r="K22" t="n">
        <v>0</v>
      </c>
      <c r="L22" t="n">
        <v>0</v>
      </c>
      <c r="M22" t="n">
        <v>0</v>
      </c>
      <c r="N22" t="n">
        <v>0</v>
      </c>
      <c r="O22" t="n">
        <v>0</v>
      </c>
      <c r="P22" t="n">
        <v>0</v>
      </c>
      <c r="Q22" t="n">
        <v>0</v>
      </c>
      <c r="R22" t="n">
        <v>0</v>
      </c>
      <c r="S22" t="n">
        <v>0</v>
      </c>
      <c r="T22" t="n">
        <v>0</v>
      </c>
      <c r="U22" t="n">
        <v>0</v>
      </c>
      <c r="V22" s="2" t="inlineStr"/>
    </row>
    <row r="23" ht="15" customHeight="1">
      <c r="A23" t="inlineStr">
        <is>
          <t>A 1071-2023</t>
        </is>
      </c>
      <c r="B23" t="inlineStr">
        <is>
          <t>avverkningsanmälan</t>
        </is>
      </c>
      <c r="C23" t="inlineStr">
        <is>
          <t>Föryngringsavverkning</t>
        </is>
      </c>
      <c r="D23" s="1" t="n">
        <v>44935</v>
      </c>
      <c r="E23" s="1" t="n">
        <v>46315</v>
      </c>
      <c r="F23" t="inlineStr">
        <is>
          <t>STOCKHOLMS LÄN</t>
        </is>
      </c>
      <c r="G23" t="inlineStr">
        <is>
          <t>SALEM</t>
        </is>
      </c>
      <c r="H23" t="inlineStr">
        <is>
          <t>Kommuner</t>
        </is>
      </c>
      <c r="I23" t="n">
        <v>5.1</v>
      </c>
      <c r="J23" t="n">
        <v>0</v>
      </c>
      <c r="K23" t="n">
        <v>0</v>
      </c>
      <c r="L23" t="n">
        <v>0</v>
      </c>
      <c r="M23" t="n">
        <v>0</v>
      </c>
      <c r="N23" t="n">
        <v>0</v>
      </c>
      <c r="O23" t="n">
        <v>0</v>
      </c>
      <c r="P23" t="n">
        <v>0</v>
      </c>
      <c r="Q23" t="n">
        <v>0</v>
      </c>
      <c r="R23" t="n">
        <v>0</v>
      </c>
      <c r="S23" t="n">
        <v>0</v>
      </c>
      <c r="T23" t="n">
        <v>0</v>
      </c>
      <c r="U23" t="n">
        <v>0</v>
      </c>
      <c r="V23" s="2" t="inlineStr"/>
    </row>
    <row r="24" ht="15" customHeight="1">
      <c r="A24" t="inlineStr">
        <is>
          <t>A 33428-2025</t>
        </is>
      </c>
      <c r="B24" t="inlineStr">
        <is>
          <t>avverkningsanmälan</t>
        </is>
      </c>
      <c r="C24" t="inlineStr">
        <is>
          <t>Avverkning för att bevara och utveckla /försöksver</t>
        </is>
      </c>
      <c r="D24" s="1" t="n">
        <v>45839</v>
      </c>
      <c r="E24" s="1" t="n">
        <v>46315</v>
      </c>
      <c r="F24" t="inlineStr">
        <is>
          <t>STOCKHOLMS LÄN</t>
        </is>
      </c>
      <c r="G24" t="inlineStr">
        <is>
          <t>SALEM</t>
        </is>
      </c>
      <c r="I24" t="n">
        <v>2.2</v>
      </c>
      <c r="J24" t="n">
        <v>0</v>
      </c>
      <c r="K24" t="n">
        <v>0</v>
      </c>
      <c r="L24" t="n">
        <v>0</v>
      </c>
      <c r="M24" t="n">
        <v>0</v>
      </c>
      <c r="N24" t="n">
        <v>0</v>
      </c>
      <c r="O24" t="n">
        <v>0</v>
      </c>
      <c r="P24" t="n">
        <v>0</v>
      </c>
      <c r="Q24" t="n">
        <v>0</v>
      </c>
      <c r="R24" t="n">
        <v>0</v>
      </c>
      <c r="S24" t="n">
        <v>0</v>
      </c>
      <c r="T24" t="n">
        <v>0</v>
      </c>
      <c r="U24" t="n">
        <v>0</v>
      </c>
      <c r="V24" s="2" t="inlineStr"/>
    </row>
    <row r="25" ht="15" customHeight="1">
      <c r="A25" t="inlineStr">
        <is>
          <t>A 32946-2025</t>
        </is>
      </c>
      <c r="B25" t="inlineStr">
        <is>
          <t>avverkningsanmälan</t>
        </is>
      </c>
      <c r="C25" t="inlineStr">
        <is>
          <t>Avverkning för att bevara och utveckla /försöksver</t>
        </is>
      </c>
      <c r="D25" s="1" t="n">
        <v>45839</v>
      </c>
      <c r="E25" s="1" t="n">
        <v>46315</v>
      </c>
      <c r="F25" t="inlineStr">
        <is>
          <t>STOCKHOLMS LÄN</t>
        </is>
      </c>
      <c r="G25" t="inlineStr">
        <is>
          <t>SALEM</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33277-2025</t>
        </is>
      </c>
      <c r="B26" t="inlineStr">
        <is>
          <t>avverkningsanmälan</t>
        </is>
      </c>
      <c r="C26" t="inlineStr">
        <is>
          <t>Avverkning för att bevara och utveckla /försöksver</t>
        </is>
      </c>
      <c r="D26" s="1" t="n">
        <v>45839</v>
      </c>
      <c r="E26" s="1" t="n">
        <v>46315</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46315</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46315</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46315</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33446-2025</t>
        </is>
      </c>
      <c r="B30" t="inlineStr">
        <is>
          <t>avverkningsanmälan</t>
        </is>
      </c>
      <c r="C30" t="inlineStr">
        <is>
          <t>Avverkning för att bevara och utveckla /försöksver</t>
        </is>
      </c>
      <c r="D30" s="1" t="n">
        <v>45839</v>
      </c>
      <c r="E30" s="1" t="n">
        <v>46315</v>
      </c>
      <c r="F30" t="inlineStr">
        <is>
          <t>STOCKHOLMS LÄN</t>
        </is>
      </c>
      <c r="G30" t="inlineStr">
        <is>
          <t>SALEM</t>
        </is>
      </c>
      <c r="I30" t="n">
        <v>9.4</v>
      </c>
      <c r="J30" t="n">
        <v>0</v>
      </c>
      <c r="K30" t="n">
        <v>0</v>
      </c>
      <c r="L30" t="n">
        <v>0</v>
      </c>
      <c r="M30" t="n">
        <v>0</v>
      </c>
      <c r="N30" t="n">
        <v>0</v>
      </c>
      <c r="O30" t="n">
        <v>0</v>
      </c>
      <c r="P30" t="n">
        <v>0</v>
      </c>
      <c r="Q30" t="n">
        <v>0</v>
      </c>
      <c r="R30" t="n">
        <v>0</v>
      </c>
      <c r="S30" t="n">
        <v>0</v>
      </c>
      <c r="T30" t="n">
        <v>0</v>
      </c>
      <c r="U30" t="n">
        <v>0</v>
      </c>
      <c r="V30" s="2" t="inlineStr"/>
    </row>
    <row r="31" ht="15" customHeight="1">
      <c r="A31" t="inlineStr">
        <is>
          <t>A 33421-2025</t>
        </is>
      </c>
      <c r="B31" t="inlineStr">
        <is>
          <t>avverkningsanmälan</t>
        </is>
      </c>
      <c r="C31" t="inlineStr">
        <is>
          <t>Avverkning för att bevara och utveckla /försöksver</t>
        </is>
      </c>
      <c r="D31" s="1" t="n">
        <v>45839</v>
      </c>
      <c r="E31" s="1" t="n">
        <v>46315</v>
      </c>
      <c r="F31" t="inlineStr">
        <is>
          <t>STOCKHOLMS LÄN</t>
        </is>
      </c>
      <c r="G31" t="inlineStr">
        <is>
          <t>SALEM</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33029-2025</t>
        </is>
      </c>
      <c r="B32" t="inlineStr">
        <is>
          <t>avverkningsanmälan</t>
        </is>
      </c>
      <c r="C32" t="inlineStr">
        <is>
          <t>Avverkning för att bevara och utveckla /försöksver</t>
        </is>
      </c>
      <c r="D32" s="1" t="n">
        <v>45839</v>
      </c>
      <c r="E32" s="1" t="n">
        <v>46315</v>
      </c>
      <c r="F32" t="inlineStr">
        <is>
          <t>STOCKHOLMS LÄN</t>
        </is>
      </c>
      <c r="G32" t="inlineStr">
        <is>
          <t>SALEM</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32960-2025</t>
        </is>
      </c>
      <c r="B33" t="inlineStr">
        <is>
          <t>avverkningsanmälan</t>
        </is>
      </c>
      <c r="C33" t="inlineStr">
        <is>
          <t>Avverkning för att bevara och utveckla /försöksver</t>
        </is>
      </c>
      <c r="D33" s="1" t="n">
        <v>45839</v>
      </c>
      <c r="E33" s="1" t="n">
        <v>46315</v>
      </c>
      <c r="F33" t="inlineStr">
        <is>
          <t>STOCKHOLMS LÄN</t>
        </is>
      </c>
      <c r="G33" t="inlineStr">
        <is>
          <t>SALEM</t>
        </is>
      </c>
      <c r="I33" t="n">
        <v>5.3</v>
      </c>
      <c r="J33" t="n">
        <v>0</v>
      </c>
      <c r="K33" t="n">
        <v>0</v>
      </c>
      <c r="L33" t="n">
        <v>0</v>
      </c>
      <c r="M33" t="n">
        <v>0</v>
      </c>
      <c r="N33" t="n">
        <v>0</v>
      </c>
      <c r="O33" t="n">
        <v>0</v>
      </c>
      <c r="P33" t="n">
        <v>0</v>
      </c>
      <c r="Q33" t="n">
        <v>0</v>
      </c>
      <c r="R33" t="n">
        <v>0</v>
      </c>
      <c r="S33" t="n">
        <v>0</v>
      </c>
      <c r="T33" t="n">
        <v>0</v>
      </c>
      <c r="U33" t="n">
        <v>0</v>
      </c>
      <c r="V33" s="2" t="inlineStr"/>
    </row>
    <row r="34" ht="15" customHeight="1">
      <c r="A34" t="inlineStr">
        <is>
          <t>A 32968-2025</t>
        </is>
      </c>
      <c r="B34" t="inlineStr">
        <is>
          <t>avverkningsanmälan</t>
        </is>
      </c>
      <c r="C34" t="inlineStr">
        <is>
          <t>Avverkning för att bevara och utveckla /försöksver</t>
        </is>
      </c>
      <c r="D34" s="1" t="n">
        <v>45839</v>
      </c>
      <c r="E34" s="1" t="n">
        <v>46315</v>
      </c>
      <c r="F34" t="inlineStr">
        <is>
          <t>STOCKHOLMS LÄN</t>
        </is>
      </c>
      <c r="G34" t="inlineStr">
        <is>
          <t>SALEM</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33441-2025</t>
        </is>
      </c>
      <c r="B35" t="inlineStr">
        <is>
          <t>avverkningsanmälan</t>
        </is>
      </c>
      <c r="C35" t="inlineStr">
        <is>
          <t>Avverkning för att bevara och utveckla /försöksver</t>
        </is>
      </c>
      <c r="D35" s="1" t="n">
        <v>45839</v>
      </c>
      <c r="E35" s="1" t="n">
        <v>46315</v>
      </c>
      <c r="F35" t="inlineStr">
        <is>
          <t>STOCKHOLMS LÄN</t>
        </is>
      </c>
      <c r="G35" t="inlineStr">
        <is>
          <t>SALEM</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33470-2025</t>
        </is>
      </c>
      <c r="B36" t="inlineStr">
        <is>
          <t>avverkningsanmälan</t>
        </is>
      </c>
      <c r="C36" t="inlineStr">
        <is>
          <t>Avverkning för att bevara och utveckla /försöksver</t>
        </is>
      </c>
      <c r="D36" s="1" t="n">
        <v>45839</v>
      </c>
      <c r="E36" s="1" t="n">
        <v>46315</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33284-2025</t>
        </is>
      </c>
      <c r="B37" t="inlineStr">
        <is>
          <t>avverkningsanmälan</t>
        </is>
      </c>
      <c r="C37" t="inlineStr">
        <is>
          <t>Avverkning för att bevara och utveckla /försöksver</t>
        </is>
      </c>
      <c r="D37" s="1" t="n">
        <v>45839</v>
      </c>
      <c r="E37" s="1" t="n">
        <v>46315</v>
      </c>
      <c r="F37" t="inlineStr">
        <is>
          <t>STOCKHOLMS LÄN</t>
        </is>
      </c>
      <c r="G37" t="inlineStr">
        <is>
          <t>SALEM</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32962-2025</t>
        </is>
      </c>
      <c r="B38" t="inlineStr">
        <is>
          <t>avverkningsanmälan</t>
        </is>
      </c>
      <c r="C38" t="inlineStr">
        <is>
          <t>Avverkning för att bevara och utveckla /försöksver</t>
        </is>
      </c>
      <c r="D38" s="1" t="n">
        <v>45839</v>
      </c>
      <c r="E38" s="1" t="n">
        <v>46315</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32942-2025</t>
        </is>
      </c>
      <c r="B39" t="inlineStr">
        <is>
          <t>avverkningsanmälan</t>
        </is>
      </c>
      <c r="C39" t="inlineStr">
        <is>
          <t>Avverkning för att bevara och utveckla /försöksver</t>
        </is>
      </c>
      <c r="D39" s="1" t="n">
        <v>45839</v>
      </c>
      <c r="E39" s="1" t="n">
        <v>46315</v>
      </c>
      <c r="F39" t="inlineStr">
        <is>
          <t>STOCKHOLMS LÄN</t>
        </is>
      </c>
      <c r="G39" t="inlineStr">
        <is>
          <t>SALEM</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32965-2025</t>
        </is>
      </c>
      <c r="B40" t="inlineStr">
        <is>
          <t>avverkningsanmälan</t>
        </is>
      </c>
      <c r="C40" t="inlineStr">
        <is>
          <t>Avverkning för att bevara och utveckla /försöksver</t>
        </is>
      </c>
      <c r="D40" s="1" t="n">
        <v>45839</v>
      </c>
      <c r="E40" s="1" t="n">
        <v>46315</v>
      </c>
      <c r="F40" t="inlineStr">
        <is>
          <t>STOCKHOLMS LÄN</t>
        </is>
      </c>
      <c r="G40" t="inlineStr">
        <is>
          <t>SALEM</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32970-2025</t>
        </is>
      </c>
      <c r="B41" t="inlineStr">
        <is>
          <t>avverkningsanmälan</t>
        </is>
      </c>
      <c r="C41" t="inlineStr">
        <is>
          <t>Avverkning för att bevara och utveckla /försöksver</t>
        </is>
      </c>
      <c r="D41" s="1" t="n">
        <v>45839</v>
      </c>
      <c r="E41" s="1" t="n">
        <v>46315</v>
      </c>
      <c r="F41" t="inlineStr">
        <is>
          <t>STOCKHOLMS LÄN</t>
        </is>
      </c>
      <c r="G41" t="inlineStr">
        <is>
          <t>SALEM</t>
        </is>
      </c>
      <c r="I41" t="n">
        <v>10.5</v>
      </c>
      <c r="J41" t="n">
        <v>0</v>
      </c>
      <c r="K41" t="n">
        <v>0</v>
      </c>
      <c r="L41" t="n">
        <v>0</v>
      </c>
      <c r="M41" t="n">
        <v>0</v>
      </c>
      <c r="N41" t="n">
        <v>0</v>
      </c>
      <c r="O41" t="n">
        <v>0</v>
      </c>
      <c r="P41" t="n">
        <v>0</v>
      </c>
      <c r="Q41" t="n">
        <v>0</v>
      </c>
      <c r="R41" t="n">
        <v>0</v>
      </c>
      <c r="S41" t="n">
        <v>0</v>
      </c>
      <c r="T41" t="n">
        <v>0</v>
      </c>
      <c r="U41" t="n">
        <v>0</v>
      </c>
      <c r="V41" s="2" t="inlineStr"/>
    </row>
    <row r="42" ht="15" customHeight="1">
      <c r="A42" t="inlineStr">
        <is>
          <t>A 33439-2025</t>
        </is>
      </c>
      <c r="B42" t="inlineStr">
        <is>
          <t>avverkningsanmälan</t>
        </is>
      </c>
      <c r="C42" t="inlineStr">
        <is>
          <t>Avverkning för att bevara och utveckla /försöksver</t>
        </is>
      </c>
      <c r="D42" s="1" t="n">
        <v>45839</v>
      </c>
      <c r="E42" s="1" t="n">
        <v>46315</v>
      </c>
      <c r="F42" t="inlineStr">
        <is>
          <t>STOCKHOLMS LÄN</t>
        </is>
      </c>
      <c r="G42" t="inlineStr">
        <is>
          <t>SALEM</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33460-2025</t>
        </is>
      </c>
      <c r="B43" t="inlineStr">
        <is>
          <t>avverkningsanmälan</t>
        </is>
      </c>
      <c r="C43" t="inlineStr">
        <is>
          <t>Avverkning för att bevara och utveckla /försöksver</t>
        </is>
      </c>
      <c r="D43" s="1" t="n">
        <v>45839</v>
      </c>
      <c r="E43" s="1" t="n">
        <v>46315</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33465-2025</t>
        </is>
      </c>
      <c r="B44" t="inlineStr">
        <is>
          <t>avverkningsanmälan</t>
        </is>
      </c>
      <c r="C44" t="inlineStr">
        <is>
          <t>Avverkning för att bevara och utveckla /försöksver</t>
        </is>
      </c>
      <c r="D44" s="1" t="n">
        <v>45839</v>
      </c>
      <c r="E44" s="1" t="n">
        <v>46315</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32953-2025</t>
        </is>
      </c>
      <c r="B45" t="inlineStr">
        <is>
          <t>avverkningsanmälan</t>
        </is>
      </c>
      <c r="C45" t="inlineStr">
        <is>
          <t>Avverkning för att bevara och utveckla /försöksver</t>
        </is>
      </c>
      <c r="D45" s="1" t="n">
        <v>45839</v>
      </c>
      <c r="E45" s="1" t="n">
        <v>46315</v>
      </c>
      <c r="F45" t="inlineStr">
        <is>
          <t>STOCKHOLMS LÄN</t>
        </is>
      </c>
      <c r="G45" t="inlineStr">
        <is>
          <t>SALEM</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46315</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46315</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2026-10-20T01:52:20Z</dcterms:created>
  <dcterms:modified xmlns:dcterms="http://purl.org/dc/terms/" xmlns:xsi="http://www.w3.org/2001/XMLSchema-instance" xsi:type="dcterms:W3CDTF">2026-10-20T01:52:20Z</dcterms:modified>
</cp:coreProperties>
</file>