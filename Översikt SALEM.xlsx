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2992-2023</t>
        </is>
      </c>
      <c r="B7" t="inlineStr">
        <is>
          <t>avverkningsanmälan</t>
        </is>
      </c>
      <c r="C7" t="inlineStr">
        <is>
          <t>Föryngringsavverkning</t>
        </is>
      </c>
      <c r="D7" s="1" t="n">
        <v>44945</v>
      </c>
      <c r="E7" s="1" t="n">
        <v>46269</v>
      </c>
      <c r="F7" t="inlineStr">
        <is>
          <t>STOCKHOLMS LÄN</t>
        </is>
      </c>
      <c r="G7" t="inlineStr">
        <is>
          <t>SALEM</t>
        </is>
      </c>
      <c r="H7" t="inlineStr">
        <is>
          <t>Kommuner</t>
        </is>
      </c>
      <c r="I7" t="n">
        <v>1.7</v>
      </c>
      <c r="J7" t="n">
        <v>0</v>
      </c>
      <c r="K7" t="n">
        <v>1</v>
      </c>
      <c r="L7" t="n">
        <v>2</v>
      </c>
      <c r="M7" t="n">
        <v>0</v>
      </c>
      <c r="N7" t="n">
        <v>0</v>
      </c>
      <c r="O7" t="n">
        <v>0</v>
      </c>
      <c r="P7" t="n">
        <v>0</v>
      </c>
      <c r="Q7" t="n">
        <v>2</v>
      </c>
      <c r="R7" t="n">
        <v>0</v>
      </c>
      <c r="S7" t="n">
        <v>3</v>
      </c>
      <c r="T7" t="n">
        <v>3</v>
      </c>
      <c r="U7" t="n">
        <v>2</v>
      </c>
      <c r="V7" s="2" t="inlineStr">
        <is>
          <t>Kandelabersvamp
Rynkskinn
Blåmossa</t>
        </is>
      </c>
      <c r="W7">
        <f>HYPERLINK("https://klasma.github.io/Logging_0128/artfynd/A 2992-2023 artfynd.xlsx", "A 2992-2023")</f>
        <v/>
      </c>
      <c r="X7">
        <f>HYPERLINK("https://klasma.github.io/Logging_0128/kartor/A 2992-2023 karta.png", "A 2992-2023")</f>
        <v/>
      </c>
      <c r="Y7">
        <f>HYPERLINK("https://klasma.github.io/Logging_0128/kartor_geotiff/A 2992-2023 georefererad karta.tif", "A 2992-2023")</f>
        <v/>
      </c>
      <c r="AA7">
        <f>HYPERLINK("https://klasma.github.io/Logging_0128/klagomål/A 2992-2023 FSC-klagomål.docx", "A 2992-2023")</f>
        <v/>
      </c>
      <c r="AB7">
        <f>HYPERLINK("https://klasma.github.io/Logging_0128/klagomålsmail/A 2992-2023 FSC-klagomål mail.docx", "A 2992-2023")</f>
        <v/>
      </c>
      <c r="AC7">
        <f>HYPERLINK("https://klasma.github.io/Logging_0128/tillsyn/A 2992-2023 tillsynsbegäran.docx", "A 2992-2023")</f>
        <v/>
      </c>
      <c r="AD7">
        <f>HYPERLINK("https://klasma.github.io/Logging_0128/tillsynsmail/A 2992-2023 tillsynsbegäran mail.docx", "A 2992-2023")</f>
        <v/>
      </c>
    </row>
    <row r="8" ht="15" customHeight="1">
      <c r="A8" t="inlineStr">
        <is>
          <t>A 2990-2023</t>
        </is>
      </c>
      <c r="B8" t="inlineStr">
        <is>
          <t>avverkningsanmälan</t>
        </is>
      </c>
      <c r="C8" t="inlineStr">
        <is>
          <t>Föryngringsavverkning</t>
        </is>
      </c>
      <c r="D8" s="1" t="n">
        <v>44945</v>
      </c>
      <c r="E8" s="1" t="n">
        <v>46269</v>
      </c>
      <c r="F8" t="inlineStr">
        <is>
          <t>STOCKHOLMS LÄN</t>
        </is>
      </c>
      <c r="G8" t="inlineStr">
        <is>
          <t>SALEM</t>
        </is>
      </c>
      <c r="H8" t="inlineStr">
        <is>
          <t>Kommuner</t>
        </is>
      </c>
      <c r="I8" t="n">
        <v>4.1</v>
      </c>
      <c r="J8" t="n">
        <v>2</v>
      </c>
      <c r="K8" t="n">
        <v>1</v>
      </c>
      <c r="L8" t="n">
        <v>0</v>
      </c>
      <c r="M8" t="n">
        <v>0</v>
      </c>
      <c r="N8" t="n">
        <v>0</v>
      </c>
      <c r="O8" t="n">
        <v>0</v>
      </c>
      <c r="P8" t="n">
        <v>0</v>
      </c>
      <c r="Q8" t="n">
        <v>0</v>
      </c>
      <c r="R8" t="n">
        <v>0</v>
      </c>
      <c r="S8" t="n">
        <v>3</v>
      </c>
      <c r="T8" t="n">
        <v>4</v>
      </c>
      <c r="U8" t="n">
        <v>0</v>
      </c>
      <c r="V8" s="2" t="inlineStr">
        <is>
          <t>Granbarkgnagare
Större vattensalamander
Mindre vattensalamander</t>
        </is>
      </c>
      <c r="W8">
        <f>HYPERLINK("https://klasma.github.io/Logging_0128/artfynd/A 2990-2023 artfynd.xlsx", "A 2990-2023")</f>
        <v/>
      </c>
      <c r="X8">
        <f>HYPERLINK("https://klasma.github.io/Logging_0128/kartor/A 2990-2023 karta.png", "A 2990-2023")</f>
        <v/>
      </c>
      <c r="Y8">
        <f>HYPERLINK("https://klasma.github.io/Logging_0128/kartor_geotiff/A 2990-2023 georefererad karta.tif", "A 2990-2023")</f>
        <v/>
      </c>
      <c r="AA8">
        <f>HYPERLINK("https://klasma.github.io/Logging_0128/klagomål/A 2990-2023 FSC-klagomål.docx", "A 2990-2023")</f>
        <v/>
      </c>
      <c r="AB8">
        <f>HYPERLINK("https://klasma.github.io/Logging_0128/klagomålsmail/A 2990-2023 FSC-klagomål mail.docx", "A 2990-2023")</f>
        <v/>
      </c>
      <c r="AC8">
        <f>HYPERLINK("https://klasma.github.io/Logging_0128/tillsyn/A 2990-2023 tillsynsbegäran.docx", "A 2990-2023")</f>
        <v/>
      </c>
      <c r="AD8">
        <f>HYPERLINK("https://klasma.github.io/Logging_0128/tillsynsmail/A 2990-2023 tillsynsbegäran mail.docx", "A 2990-2023")</f>
        <v/>
      </c>
    </row>
    <row r="9" ht="15" customHeight="1">
      <c r="A9" t="inlineStr">
        <is>
          <t>A 32951-2025</t>
        </is>
      </c>
      <c r="B9" t="inlineStr">
        <is>
          <t>avverkningsanmälan</t>
        </is>
      </c>
      <c r="C9" t="inlineStr">
        <is>
          <t>Avverkning för att bevara och utveckla /försöksver</t>
        </is>
      </c>
      <c r="D9" s="1" t="n">
        <v>45839</v>
      </c>
      <c r="E9" s="1" t="n">
        <v>46269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51720-2023</t>
        </is>
      </c>
      <c r="B13" t="inlineStr">
        <is>
          <t>avverkningsanmälan</t>
        </is>
      </c>
      <c r="C13" t="inlineStr">
        <is>
          <t>Avverkning för att bevara och utveckla /försöksver</t>
        </is>
      </c>
      <c r="D13" s="1" t="n">
        <v>45222</v>
      </c>
      <c r="E13" s="1" t="n">
        <v>46269</v>
      </c>
      <c r="F13" t="inlineStr">
        <is>
          <t>STOCKHOLMS LÄN</t>
        </is>
      </c>
      <c r="G13" t="inlineStr">
        <is>
          <t>SALEM</t>
        </is>
      </c>
      <c r="I13" t="n">
        <v>0.4</v>
      </c>
      <c r="J13" t="n">
        <v>0</v>
      </c>
      <c r="K13" t="n">
        <v>0</v>
      </c>
      <c r="L13" t="n">
        <v>0</v>
      </c>
      <c r="M13" t="n">
        <v>0</v>
      </c>
      <c r="N13" t="n">
        <v>0</v>
      </c>
      <c r="O13" t="n">
        <v>0</v>
      </c>
      <c r="P13" t="n">
        <v>0</v>
      </c>
      <c r="Q13" t="n">
        <v>0</v>
      </c>
      <c r="R13" t="n">
        <v>0</v>
      </c>
      <c r="S13" t="n">
        <v>0</v>
      </c>
      <c r="T13" t="n">
        <v>0</v>
      </c>
      <c r="U13" t="n">
        <v>0</v>
      </c>
      <c r="V13" s="2" t="inlineStr"/>
    </row>
    <row r="14" ht="15" customHeight="1">
      <c r="A14" t="inlineStr">
        <is>
          <t>A 58592-2023</t>
        </is>
      </c>
      <c r="B14" t="inlineStr">
        <is>
          <t>avverkningsanmälan</t>
        </is>
      </c>
      <c r="C14" t="inlineStr">
        <is>
          <t>Föryngringsavverkning</t>
        </is>
      </c>
      <c r="D14" s="1" t="n">
        <v>45251</v>
      </c>
      <c r="E14" s="1" t="n">
        <v>46269</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46269</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46269</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46269</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46269</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46269</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46269</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46269</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46269</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46269</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46269</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46269</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46269</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46269</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46269</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46269</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46269</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46269</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46269</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46269</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46269</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46269</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46269</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46269</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61336-2022</t>
        </is>
      </c>
      <c r="B38" t="inlineStr">
        <is>
          <t>avverkningsanmälan</t>
        </is>
      </c>
      <c r="C38" t="inlineStr">
        <is>
          <t>Föryngringsavverkning</t>
        </is>
      </c>
      <c r="D38" s="1" t="n">
        <v>44915</v>
      </c>
      <c r="E38" s="1" t="n">
        <v>46269</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46269</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46269</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46269</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60733-2025</t>
        </is>
      </c>
      <c r="B42" t="inlineStr">
        <is>
          <t>avverkningsanmälan</t>
        </is>
      </c>
      <c r="C42" t="inlineStr">
        <is>
          <t>Föryngringsavverkning</t>
        </is>
      </c>
      <c r="D42" s="1" t="n">
        <v>45995</v>
      </c>
      <c r="E42" s="1" t="n">
        <v>46269</v>
      </c>
      <c r="F42" t="inlineStr">
        <is>
          <t>STOCKHOLMS LÄN</t>
        </is>
      </c>
      <c r="G42" t="inlineStr">
        <is>
          <t>SALEM</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60731-2025</t>
        </is>
      </c>
      <c r="B43" t="inlineStr">
        <is>
          <t>avverkningsanmälan</t>
        </is>
      </c>
      <c r="C43" t="inlineStr">
        <is>
          <t>Föryngringsavverkning</t>
        </is>
      </c>
      <c r="D43" s="1" t="n">
        <v>45995</v>
      </c>
      <c r="E43" s="1" t="n">
        <v>46269</v>
      </c>
      <c r="F43" t="inlineStr">
        <is>
          <t>STOCKHOLMS LÄN</t>
        </is>
      </c>
      <c r="G43" t="inlineStr">
        <is>
          <t>SALEM</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46269</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46269</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46269</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2026-09-04T02:07:30Z</dcterms:created>
  <dcterms:modified xmlns:dcterms="http://purl.org/dc/terms/" xmlns:xsi="http://www.w3.org/2001/XMLSchema-instance" xsi:type="dcterms:W3CDTF">2026-09-04T02:07:30Z</dcterms:modified>
</cp:coreProperties>
</file>