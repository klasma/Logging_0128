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46189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46189</v>
      </c>
      <c r="D3" t="inlineStr">
        <is>
          <t>STOCKHOLMS LÄN</t>
        </is>
      </c>
      <c r="E3" t="inlineStr">
        <is>
          <t>SALEM</t>
        </is>
      </c>
      <c r="F3" t="inlineStr">
        <is>
          <t>Kommuner</t>
        </is>
      </c>
      <c r="G3" t="n">
        <v>0.1</v>
      </c>
      <c r="H3" t="n">
        <v>0</v>
      </c>
      <c r="I3" t="n">
        <v>4</v>
      </c>
      <c r="J3" t="n">
        <v>2</v>
      </c>
      <c r="K3" t="n">
        <v>0</v>
      </c>
      <c r="L3" t="n">
        <v>0</v>
      </c>
      <c r="M3" t="n">
        <v>0</v>
      </c>
      <c r="N3" t="n">
        <v>0</v>
      </c>
      <c r="O3" t="n">
        <v>2</v>
      </c>
      <c r="P3" t="n">
        <v>0</v>
      </c>
      <c r="Q3" t="n">
        <v>6</v>
      </c>
      <c r="R3" s="2" t="inlineStr">
        <is>
          <t>Kandelabersvamp
Ullticka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61302-2022</t>
        </is>
      </c>
      <c r="B4" s="1" t="n">
        <v>44915</v>
      </c>
      <c r="C4" s="1" t="n">
        <v>46189</v>
      </c>
      <c r="D4" t="inlineStr">
        <is>
          <t>STOCKHOLMS LÄN</t>
        </is>
      </c>
      <c r="E4" t="inlineStr">
        <is>
          <t>SALEM</t>
        </is>
      </c>
      <c r="F4" t="inlineStr">
        <is>
          <t>Kommuner</t>
        </is>
      </c>
      <c r="G4" t="n">
        <v>14.8</v>
      </c>
      <c r="H4" t="n">
        <v>0</v>
      </c>
      <c r="I4" t="n">
        <v>2</v>
      </c>
      <c r="J4" t="n">
        <v>1</v>
      </c>
      <c r="K4" t="n">
        <v>0</v>
      </c>
      <c r="L4" t="n">
        <v>0</v>
      </c>
      <c r="M4" t="n">
        <v>0</v>
      </c>
      <c r="N4" t="n">
        <v>0</v>
      </c>
      <c r="O4" t="n">
        <v>1</v>
      </c>
      <c r="P4" t="n">
        <v>0</v>
      </c>
      <c r="Q4" t="n">
        <v>3</v>
      </c>
      <c r="R4" s="2" t="inlineStr">
        <is>
          <t>Tallticka
Trådticka
Zontaggsvamp</t>
        </is>
      </c>
      <c r="S4">
        <f>HYPERLINK("https://klasma.github.io/Logging_0128/artfynd/A 61302-2022 artfynd.xlsx", "A 61302-2022")</f>
        <v/>
      </c>
      <c r="T4">
        <f>HYPERLINK("https://klasma.github.io/Logging_0128/kartor/A 61302-2022 karta.png", "A 61302-2022")</f>
        <v/>
      </c>
      <c r="V4">
        <f>HYPERLINK("https://klasma.github.io/Logging_0128/klagomål/A 61302-2022 FSC-klagomål.docx", "A 61302-2022")</f>
        <v/>
      </c>
      <c r="W4">
        <f>HYPERLINK("https://klasma.github.io/Logging_0128/klagomålsmail/A 61302-2022 FSC-klagomål mail.docx", "A 61302-2022")</f>
        <v/>
      </c>
      <c r="X4">
        <f>HYPERLINK("https://klasma.github.io/Logging_0128/tillsyn/A 61302-2022 tillsynsbegäran.docx", "A 61302-2022")</f>
        <v/>
      </c>
      <c r="Y4">
        <f>HYPERLINK("https://klasma.github.io/Logging_0128/tillsynsmail/A 61302-2022 tillsynsbegäran mail.docx", "A 61302-2022")</f>
        <v/>
      </c>
    </row>
    <row r="5" ht="15" customHeight="1">
      <c r="A5" t="inlineStr">
        <is>
          <t>A 2992-2023</t>
        </is>
      </c>
      <c r="B5" s="1" t="n">
        <v>44945</v>
      </c>
      <c r="C5" s="1" t="n">
        <v>46189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68700-2021</t>
        </is>
      </c>
      <c r="B6" s="1" t="n">
        <v>44529</v>
      </c>
      <c r="C6" s="1" t="n">
        <v>46189</v>
      </c>
      <c r="D6" t="inlineStr">
        <is>
          <t>STOCKHOLMS LÄN</t>
        </is>
      </c>
      <c r="E6" t="inlineStr">
        <is>
          <t>SALEM</t>
        </is>
      </c>
      <c r="F6" t="inlineStr">
        <is>
          <t>Kommuner</t>
        </is>
      </c>
      <c r="G6" t="n">
        <v>5.3</v>
      </c>
      <c r="H6" t="n">
        <v>0</v>
      </c>
      <c r="I6" t="n">
        <v>1</v>
      </c>
      <c r="J6" t="n">
        <v>0</v>
      </c>
      <c r="K6" t="n">
        <v>0</v>
      </c>
      <c r="L6" t="n">
        <v>0</v>
      </c>
      <c r="M6" t="n">
        <v>0</v>
      </c>
      <c r="N6" t="n">
        <v>0</v>
      </c>
      <c r="O6" t="n">
        <v>0</v>
      </c>
      <c r="P6" t="n">
        <v>0</v>
      </c>
      <c r="Q6" t="n">
        <v>1</v>
      </c>
      <c r="R6" s="2" t="inlineStr">
        <is>
          <t>Blåmossa</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row>
    <row r="7" ht="15" customHeight="1">
      <c r="A7" t="inlineStr">
        <is>
          <t>A 2987-2023</t>
        </is>
      </c>
      <c r="B7" s="1" t="n">
        <v>44945</v>
      </c>
      <c r="C7" s="1" t="n">
        <v>46189</v>
      </c>
      <c r="D7" t="inlineStr">
        <is>
          <t>STOCKHOLMS LÄN</t>
        </is>
      </c>
      <c r="E7" t="inlineStr">
        <is>
          <t>SALEM</t>
        </is>
      </c>
      <c r="F7" t="inlineStr">
        <is>
          <t>Kommuner</t>
        </is>
      </c>
      <c r="G7" t="n">
        <v>6.2</v>
      </c>
      <c r="H7" t="n">
        <v>0</v>
      </c>
      <c r="I7" t="n">
        <v>0</v>
      </c>
      <c r="J7" t="n">
        <v>1</v>
      </c>
      <c r="K7" t="n">
        <v>0</v>
      </c>
      <c r="L7" t="n">
        <v>0</v>
      </c>
      <c r="M7" t="n">
        <v>0</v>
      </c>
      <c r="N7" t="n">
        <v>0</v>
      </c>
      <c r="O7" t="n">
        <v>1</v>
      </c>
      <c r="P7" t="n">
        <v>0</v>
      </c>
      <c r="Q7" t="n">
        <v>1</v>
      </c>
      <c r="R7" s="2" t="inlineStr">
        <is>
          <t>Tallticka</t>
        </is>
      </c>
      <c r="S7">
        <f>HYPERLINK("https://klasma.github.io/Logging_0128/artfynd/A 2987-2023 artfynd.xlsx", "A 2987-2023")</f>
        <v/>
      </c>
      <c r="T7">
        <f>HYPERLINK("https://klasma.github.io/Logging_0128/kartor/A 2987-2023 karta.png", "A 2987-2023")</f>
        <v/>
      </c>
      <c r="V7">
        <f>HYPERLINK("https://klasma.github.io/Logging_0128/klagomål/A 2987-2023 FSC-klagomål.docx", "A 2987-2023")</f>
        <v/>
      </c>
      <c r="W7">
        <f>HYPERLINK("https://klasma.github.io/Logging_0128/klagomålsmail/A 2987-2023 FSC-klagomål mail.docx", "A 2987-2023")</f>
        <v/>
      </c>
      <c r="X7">
        <f>HYPERLINK("https://klasma.github.io/Logging_0128/tillsyn/A 2987-2023 tillsynsbegäran.docx", "A 2987-2023")</f>
        <v/>
      </c>
      <c r="Y7">
        <f>HYPERLINK("https://klasma.github.io/Logging_0128/tillsynsmail/A 2987-2023 tillsynsbegäran mail.docx", "A 2987-2023")</f>
        <v/>
      </c>
    </row>
    <row r="8" ht="15" customHeight="1">
      <c r="A8" t="inlineStr">
        <is>
          <t>A 32951-2025</t>
        </is>
      </c>
      <c r="B8" s="1" t="n">
        <v>45839</v>
      </c>
      <c r="C8" s="1" t="n">
        <v>46189</v>
      </c>
      <c r="D8" t="inlineStr">
        <is>
          <t>STOCKHOLMS LÄN</t>
        </is>
      </c>
      <c r="E8" t="inlineStr">
        <is>
          <t>SALEM</t>
        </is>
      </c>
      <c r="G8" t="n">
        <v>2.6</v>
      </c>
      <c r="H8" t="n">
        <v>0</v>
      </c>
      <c r="I8" t="n">
        <v>0</v>
      </c>
      <c r="J8" t="n">
        <v>1</v>
      </c>
      <c r="K8" t="n">
        <v>0</v>
      </c>
      <c r="L8" t="n">
        <v>0</v>
      </c>
      <c r="M8" t="n">
        <v>0</v>
      </c>
      <c r="N8" t="n">
        <v>0</v>
      </c>
      <c r="O8" t="n">
        <v>1</v>
      </c>
      <c r="P8" t="n">
        <v>0</v>
      </c>
      <c r="Q8" t="n">
        <v>1</v>
      </c>
      <c r="R8" s="2" t="inlineStr">
        <is>
          <t>Etternässla</t>
        </is>
      </c>
      <c r="S8">
        <f>HYPERLINK("https://klasma.github.io/Logging_0128/artfynd/A 32951-2025 artfynd.xlsx", "A 32951-2025")</f>
        <v/>
      </c>
      <c r="T8">
        <f>HYPERLINK("https://klasma.github.io/Logging_0128/kartor/A 32951-2025 karta.png", "A 32951-2025")</f>
        <v/>
      </c>
      <c r="V8">
        <f>HYPERLINK("https://klasma.github.io/Logging_0128/klagomål/A 32951-2025 FSC-klagomål.docx", "A 32951-2025")</f>
        <v/>
      </c>
      <c r="W8">
        <f>HYPERLINK("https://klasma.github.io/Logging_0128/klagomålsmail/A 32951-2025 FSC-klagomål mail.docx", "A 32951-2025")</f>
        <v/>
      </c>
      <c r="X8">
        <f>HYPERLINK("https://klasma.github.io/Logging_0128/tillsyn/A 32951-2025 tillsynsbegäran.docx", "A 32951-2025")</f>
        <v/>
      </c>
      <c r="Y8">
        <f>HYPERLINK("https://klasma.github.io/Logging_0128/tillsynsmail/A 32951-2025 tillsynsbegäran mail.docx", "A 32951-2025")</f>
        <v/>
      </c>
    </row>
    <row r="9" ht="15" customHeight="1">
      <c r="A9" t="inlineStr">
        <is>
          <t>A 43893-2021</t>
        </is>
      </c>
      <c r="B9" s="1" t="n">
        <v>44434</v>
      </c>
      <c r="C9" s="1" t="n">
        <v>46189</v>
      </c>
      <c r="D9" t="inlineStr">
        <is>
          <t>STOCKHOLMS LÄN</t>
        </is>
      </c>
      <c r="E9" t="inlineStr">
        <is>
          <t>SALEM</t>
        </is>
      </c>
      <c r="F9" t="inlineStr">
        <is>
          <t>Kommuner</t>
        </is>
      </c>
      <c r="G9" t="n">
        <v>2.2</v>
      </c>
      <c r="H9" t="n">
        <v>0</v>
      </c>
      <c r="I9" t="n">
        <v>0</v>
      </c>
      <c r="J9" t="n">
        <v>0</v>
      </c>
      <c r="K9" t="n">
        <v>0</v>
      </c>
      <c r="L9" t="n">
        <v>0</v>
      </c>
      <c r="M9" t="n">
        <v>0</v>
      </c>
      <c r="N9" t="n">
        <v>0</v>
      </c>
      <c r="O9" t="n">
        <v>0</v>
      </c>
      <c r="P9" t="n">
        <v>0</v>
      </c>
      <c r="Q9" t="n">
        <v>0</v>
      </c>
      <c r="R9" s="2" t="inlineStr"/>
    </row>
    <row r="10" ht="15" customHeight="1">
      <c r="A10" t="inlineStr">
        <is>
          <t>A 2990-2023</t>
        </is>
      </c>
      <c r="B10" s="1" t="n">
        <v>44945</v>
      </c>
      <c r="C10" s="1" t="n">
        <v>46189</v>
      </c>
      <c r="D10" t="inlineStr">
        <is>
          <t>STOCKHOLMS LÄN</t>
        </is>
      </c>
      <c r="E10" t="inlineStr">
        <is>
          <t>SALEM</t>
        </is>
      </c>
      <c r="F10" t="inlineStr">
        <is>
          <t>Kommuner</t>
        </is>
      </c>
      <c r="G10" t="n">
        <v>4.1</v>
      </c>
      <c r="H10" t="n">
        <v>0</v>
      </c>
      <c r="I10" t="n">
        <v>0</v>
      </c>
      <c r="J10" t="n">
        <v>0</v>
      </c>
      <c r="K10" t="n">
        <v>0</v>
      </c>
      <c r="L10" t="n">
        <v>0</v>
      </c>
      <c r="M10" t="n">
        <v>0</v>
      </c>
      <c r="N10" t="n">
        <v>0</v>
      </c>
      <c r="O10" t="n">
        <v>0</v>
      </c>
      <c r="P10" t="n">
        <v>0</v>
      </c>
      <c r="Q10" t="n">
        <v>0</v>
      </c>
      <c r="R10" s="2" t="inlineStr"/>
    </row>
    <row r="11" ht="15" customHeight="1">
      <c r="A11" t="inlineStr">
        <is>
          <t>A 8300-2024</t>
        </is>
      </c>
      <c r="B11" s="1" t="n">
        <v>45352.44717592592</v>
      </c>
      <c r="C11" s="1" t="n">
        <v>46189</v>
      </c>
      <c r="D11" t="inlineStr">
        <is>
          <t>STOCKHOLMS LÄN</t>
        </is>
      </c>
      <c r="E11" t="inlineStr">
        <is>
          <t>SALEM</t>
        </is>
      </c>
      <c r="F11" t="inlineStr">
        <is>
          <t>Kommuner</t>
        </is>
      </c>
      <c r="G11" t="n">
        <v>3.4</v>
      </c>
      <c r="H11" t="n">
        <v>0</v>
      </c>
      <c r="I11" t="n">
        <v>0</v>
      </c>
      <c r="J11" t="n">
        <v>0</v>
      </c>
      <c r="K11" t="n">
        <v>0</v>
      </c>
      <c r="L11" t="n">
        <v>0</v>
      </c>
      <c r="M11" t="n">
        <v>0</v>
      </c>
      <c r="N11" t="n">
        <v>0</v>
      </c>
      <c r="O11" t="n">
        <v>0</v>
      </c>
      <c r="P11" t="n">
        <v>0</v>
      </c>
      <c r="Q11" t="n">
        <v>0</v>
      </c>
      <c r="R11" s="2" t="inlineStr"/>
    </row>
    <row r="12" ht="15" customHeight="1">
      <c r="A12" t="inlineStr">
        <is>
          <t>A 58592-2023</t>
        </is>
      </c>
      <c r="B12" s="1" t="n">
        <v>45251</v>
      </c>
      <c r="C12" s="1" t="n">
        <v>46189</v>
      </c>
      <c r="D12" t="inlineStr">
        <is>
          <t>STOCKHOLMS LÄN</t>
        </is>
      </c>
      <c r="E12" t="inlineStr">
        <is>
          <t>SALEM</t>
        </is>
      </c>
      <c r="G12" t="n">
        <v>2.1</v>
      </c>
      <c r="H12" t="n">
        <v>0</v>
      </c>
      <c r="I12" t="n">
        <v>0</v>
      </c>
      <c r="J12" t="n">
        <v>0</v>
      </c>
      <c r="K12" t="n">
        <v>0</v>
      </c>
      <c r="L12" t="n">
        <v>0</v>
      </c>
      <c r="M12" t="n">
        <v>0</v>
      </c>
      <c r="N12" t="n">
        <v>0</v>
      </c>
      <c r="O12" t="n">
        <v>0</v>
      </c>
      <c r="P12" t="n">
        <v>0</v>
      </c>
      <c r="Q12" t="n">
        <v>0</v>
      </c>
      <c r="R12" s="2" t="inlineStr"/>
    </row>
    <row r="13" ht="15" customHeight="1">
      <c r="A13" t="inlineStr">
        <is>
          <t>A 33262-2021</t>
        </is>
      </c>
      <c r="B13" s="1" t="n">
        <v>44377.35033564815</v>
      </c>
      <c r="C13" s="1" t="n">
        <v>46189</v>
      </c>
      <c r="D13" t="inlineStr">
        <is>
          <t>STOCKHOLMS LÄN</t>
        </is>
      </c>
      <c r="E13" t="inlineStr">
        <is>
          <t>SALEM</t>
        </is>
      </c>
      <c r="G13" t="n">
        <v>0.7</v>
      </c>
      <c r="H13" t="n">
        <v>0</v>
      </c>
      <c r="I13" t="n">
        <v>0</v>
      </c>
      <c r="J13" t="n">
        <v>0</v>
      </c>
      <c r="K13" t="n">
        <v>0</v>
      </c>
      <c r="L13" t="n">
        <v>0</v>
      </c>
      <c r="M13" t="n">
        <v>0</v>
      </c>
      <c r="N13" t="n">
        <v>0</v>
      </c>
      <c r="O13" t="n">
        <v>0</v>
      </c>
      <c r="P13" t="n">
        <v>0</v>
      </c>
      <c r="Q13" t="n">
        <v>0</v>
      </c>
      <c r="R13" s="2" t="inlineStr"/>
    </row>
    <row r="14" ht="15" customHeight="1">
      <c r="A14" t="inlineStr">
        <is>
          <t>A 61336-2022</t>
        </is>
      </c>
      <c r="B14" s="1" t="n">
        <v>44915</v>
      </c>
      <c r="C14" s="1" t="n">
        <v>46189</v>
      </c>
      <c r="D14" t="inlineStr">
        <is>
          <t>STOCKHOLMS LÄN</t>
        </is>
      </c>
      <c r="E14" t="inlineStr">
        <is>
          <t>SALEM</t>
        </is>
      </c>
      <c r="F14" t="inlineStr">
        <is>
          <t>Kommuner</t>
        </is>
      </c>
      <c r="G14" t="n">
        <v>5.6</v>
      </c>
      <c r="H14" t="n">
        <v>0</v>
      </c>
      <c r="I14" t="n">
        <v>0</v>
      </c>
      <c r="J14" t="n">
        <v>0</v>
      </c>
      <c r="K14" t="n">
        <v>0</v>
      </c>
      <c r="L14" t="n">
        <v>0</v>
      </c>
      <c r="M14" t="n">
        <v>0</v>
      </c>
      <c r="N14" t="n">
        <v>0</v>
      </c>
      <c r="O14" t="n">
        <v>0</v>
      </c>
      <c r="P14" t="n">
        <v>0</v>
      </c>
      <c r="Q14" t="n">
        <v>0</v>
      </c>
      <c r="R14" s="2" t="inlineStr"/>
    </row>
    <row r="15" ht="15" customHeight="1">
      <c r="A15" t="inlineStr">
        <is>
          <t>A 46919-2023</t>
        </is>
      </c>
      <c r="B15" s="1" t="n">
        <v>45201</v>
      </c>
      <c r="C15" s="1" t="n">
        <v>46189</v>
      </c>
      <c r="D15" t="inlineStr">
        <is>
          <t>STOCKHOLMS LÄN</t>
        </is>
      </c>
      <c r="E15" t="inlineStr">
        <is>
          <t>SALEM</t>
        </is>
      </c>
      <c r="F15" t="inlineStr">
        <is>
          <t>Kommuner</t>
        </is>
      </c>
      <c r="G15" t="n">
        <v>1.3</v>
      </c>
      <c r="H15" t="n">
        <v>0</v>
      </c>
      <c r="I15" t="n">
        <v>0</v>
      </c>
      <c r="J15" t="n">
        <v>0</v>
      </c>
      <c r="K15" t="n">
        <v>0</v>
      </c>
      <c r="L15" t="n">
        <v>0</v>
      </c>
      <c r="M15" t="n">
        <v>0</v>
      </c>
      <c r="N15" t="n">
        <v>0</v>
      </c>
      <c r="O15" t="n">
        <v>0</v>
      </c>
      <c r="P15" t="n">
        <v>0</v>
      </c>
      <c r="Q15" t="n">
        <v>0</v>
      </c>
      <c r="R15" s="2" t="inlineStr"/>
    </row>
    <row r="16" ht="15" customHeight="1">
      <c r="A16" t="inlineStr">
        <is>
          <t>A 51720-2023</t>
        </is>
      </c>
      <c r="B16" s="1" t="n">
        <v>45222</v>
      </c>
      <c r="C16" s="1" t="n">
        <v>46189</v>
      </c>
      <c r="D16" t="inlineStr">
        <is>
          <t>STOCKHOLMS LÄN</t>
        </is>
      </c>
      <c r="E16" t="inlineStr">
        <is>
          <t>SALEM</t>
        </is>
      </c>
      <c r="G16" t="n">
        <v>0.4</v>
      </c>
      <c r="H16" t="n">
        <v>0</v>
      </c>
      <c r="I16" t="n">
        <v>0</v>
      </c>
      <c r="J16" t="n">
        <v>0</v>
      </c>
      <c r="K16" t="n">
        <v>0</v>
      </c>
      <c r="L16" t="n">
        <v>0</v>
      </c>
      <c r="M16" t="n">
        <v>0</v>
      </c>
      <c r="N16" t="n">
        <v>0</v>
      </c>
      <c r="O16" t="n">
        <v>0</v>
      </c>
      <c r="P16" t="n">
        <v>0</v>
      </c>
      <c r="Q16" t="n">
        <v>0</v>
      </c>
      <c r="R16" s="2" t="inlineStr"/>
    </row>
    <row r="17" ht="15" customHeight="1">
      <c r="A17" t="inlineStr">
        <is>
          <t>A 60733-2025</t>
        </is>
      </c>
      <c r="B17" s="1" t="n">
        <v>45995</v>
      </c>
      <c r="C17" s="1" t="n">
        <v>46189</v>
      </c>
      <c r="D17" t="inlineStr">
        <is>
          <t>STOCKHOLMS LÄN</t>
        </is>
      </c>
      <c r="E17" t="inlineStr">
        <is>
          <t>SALEM</t>
        </is>
      </c>
      <c r="G17" t="n">
        <v>1.7</v>
      </c>
      <c r="H17" t="n">
        <v>0</v>
      </c>
      <c r="I17" t="n">
        <v>0</v>
      </c>
      <c r="J17" t="n">
        <v>0</v>
      </c>
      <c r="K17" t="n">
        <v>0</v>
      </c>
      <c r="L17" t="n">
        <v>0</v>
      </c>
      <c r="M17" t="n">
        <v>0</v>
      </c>
      <c r="N17" t="n">
        <v>0</v>
      </c>
      <c r="O17" t="n">
        <v>0</v>
      </c>
      <c r="P17" t="n">
        <v>0</v>
      </c>
      <c r="Q17" t="n">
        <v>0</v>
      </c>
      <c r="R17" s="2" t="inlineStr"/>
    </row>
    <row r="18" ht="15" customHeight="1">
      <c r="A18" t="inlineStr">
        <is>
          <t>A 60731-2025</t>
        </is>
      </c>
      <c r="B18" s="1" t="n">
        <v>45995</v>
      </c>
      <c r="C18" s="1" t="n">
        <v>46189</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504-2023</t>
        </is>
      </c>
      <c r="B19" s="1" t="n">
        <v>44930</v>
      </c>
      <c r="C19" s="1" t="n">
        <v>46189</v>
      </c>
      <c r="D19" t="inlineStr">
        <is>
          <t>STOCKHOLMS LÄN</t>
        </is>
      </c>
      <c r="E19" t="inlineStr">
        <is>
          <t>SALEM</t>
        </is>
      </c>
      <c r="F19" t="inlineStr">
        <is>
          <t>Kommuner</t>
        </is>
      </c>
      <c r="G19" t="n">
        <v>2</v>
      </c>
      <c r="H19" t="n">
        <v>0</v>
      </c>
      <c r="I19" t="n">
        <v>0</v>
      </c>
      <c r="J19" t="n">
        <v>0</v>
      </c>
      <c r="K19" t="n">
        <v>0</v>
      </c>
      <c r="L19" t="n">
        <v>0</v>
      </c>
      <c r="M19" t="n">
        <v>0</v>
      </c>
      <c r="N19" t="n">
        <v>0</v>
      </c>
      <c r="O19" t="n">
        <v>0</v>
      </c>
      <c r="P19" t="n">
        <v>0</v>
      </c>
      <c r="Q19" t="n">
        <v>0</v>
      </c>
      <c r="R19" s="2" t="inlineStr"/>
    </row>
    <row r="20" ht="15" customHeight="1">
      <c r="A20" t="inlineStr">
        <is>
          <t>A 33246-2021</t>
        </is>
      </c>
      <c r="B20" s="1" t="n">
        <v>44377</v>
      </c>
      <c r="C20" s="1" t="n">
        <v>46189</v>
      </c>
      <c r="D20" t="inlineStr">
        <is>
          <t>STOCKHOLMS LÄN</t>
        </is>
      </c>
      <c r="E20" t="inlineStr">
        <is>
          <t>SALEM</t>
        </is>
      </c>
      <c r="G20" t="n">
        <v>3.4</v>
      </c>
      <c r="H20" t="n">
        <v>0</v>
      </c>
      <c r="I20" t="n">
        <v>0</v>
      </c>
      <c r="J20" t="n">
        <v>0</v>
      </c>
      <c r="K20" t="n">
        <v>0</v>
      </c>
      <c r="L20" t="n">
        <v>0</v>
      </c>
      <c r="M20" t="n">
        <v>0</v>
      </c>
      <c r="N20" t="n">
        <v>0</v>
      </c>
      <c r="O20" t="n">
        <v>0</v>
      </c>
      <c r="P20" t="n">
        <v>0</v>
      </c>
      <c r="Q20" t="n">
        <v>0</v>
      </c>
      <c r="R20" s="2" t="inlineStr"/>
    </row>
    <row r="21" ht="15" customHeight="1">
      <c r="A21" t="inlineStr">
        <is>
          <t>A 9533-2024</t>
        </is>
      </c>
      <c r="B21" s="1" t="n">
        <v>45359.69105324074</v>
      </c>
      <c r="C21" s="1" t="n">
        <v>46189</v>
      </c>
      <c r="D21" t="inlineStr">
        <is>
          <t>STOCKHOLMS LÄN</t>
        </is>
      </c>
      <c r="E21" t="inlineStr">
        <is>
          <t>SALEM</t>
        </is>
      </c>
      <c r="F21" t="inlineStr">
        <is>
          <t>Kommuner</t>
        </is>
      </c>
      <c r="G21" t="n">
        <v>2.6</v>
      </c>
      <c r="H21" t="n">
        <v>0</v>
      </c>
      <c r="I21" t="n">
        <v>0</v>
      </c>
      <c r="J21" t="n">
        <v>0</v>
      </c>
      <c r="K21" t="n">
        <v>0</v>
      </c>
      <c r="L21" t="n">
        <v>0</v>
      </c>
      <c r="M21" t="n">
        <v>0</v>
      </c>
      <c r="N21" t="n">
        <v>0</v>
      </c>
      <c r="O21" t="n">
        <v>0</v>
      </c>
      <c r="P21" t="n">
        <v>0</v>
      </c>
      <c r="Q21" t="n">
        <v>0</v>
      </c>
      <c r="R21" s="2" t="inlineStr"/>
    </row>
    <row r="22" ht="15" customHeight="1">
      <c r="A22" t="inlineStr">
        <is>
          <t>A 23992-2023</t>
        </is>
      </c>
      <c r="B22" s="1" t="n">
        <v>45078</v>
      </c>
      <c r="C22" s="1" t="n">
        <v>46189</v>
      </c>
      <c r="D22" t="inlineStr">
        <is>
          <t>STOCKHOLMS LÄN</t>
        </is>
      </c>
      <c r="E22" t="inlineStr">
        <is>
          <t>SALEM</t>
        </is>
      </c>
      <c r="F22" t="inlineStr">
        <is>
          <t>Kommuner</t>
        </is>
      </c>
      <c r="G22" t="n">
        <v>0.7</v>
      </c>
      <c r="H22" t="n">
        <v>0</v>
      </c>
      <c r="I22" t="n">
        <v>0</v>
      </c>
      <c r="J22" t="n">
        <v>0</v>
      </c>
      <c r="K22" t="n">
        <v>0</v>
      </c>
      <c r="L22" t="n">
        <v>0</v>
      </c>
      <c r="M22" t="n">
        <v>0</v>
      </c>
      <c r="N22" t="n">
        <v>0</v>
      </c>
      <c r="O22" t="n">
        <v>0</v>
      </c>
      <c r="P22" t="n">
        <v>0</v>
      </c>
      <c r="Q22" t="n">
        <v>0</v>
      </c>
      <c r="R22" s="2" t="inlineStr"/>
    </row>
    <row r="23" ht="15" customHeight="1">
      <c r="A23" t="inlineStr">
        <is>
          <t>A 1071-2023</t>
        </is>
      </c>
      <c r="B23" s="1" t="n">
        <v>44935</v>
      </c>
      <c r="C23" s="1" t="n">
        <v>46189</v>
      </c>
      <c r="D23" t="inlineStr">
        <is>
          <t>STOCKHOLMS LÄN</t>
        </is>
      </c>
      <c r="E23" t="inlineStr">
        <is>
          <t>SALEM</t>
        </is>
      </c>
      <c r="F23" t="inlineStr">
        <is>
          <t>Kommuner</t>
        </is>
      </c>
      <c r="G23" t="n">
        <v>5.1</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46189</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46189</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46189</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46189</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46189</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46189</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46189</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46189</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46189</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46189</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46189</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46189</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46189</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46189</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46189</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46189</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46189</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46189</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46189</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46189</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46189</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46189</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46189</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46189</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c r="A48" t="inlineStr">
        <is>
          <t>A 29982-2025</t>
        </is>
      </c>
      <c r="B48" s="1" t="n">
        <v>45826</v>
      </c>
      <c r="C48" s="1" t="n">
        <v>46189</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2026-06-16T12:55:14Z</dcterms:created>
  <dcterms:modified xmlns:dcterms="http://purl.org/dc/terms/" xmlns:xsi="http://www.w3.org/2001/XMLSchema-instance" xsi:type="dcterms:W3CDTF">2026-06-16T12:55:14Z</dcterms:modified>
</cp:coreProperties>
</file>