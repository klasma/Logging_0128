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45889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45889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45889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45889</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45889</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45889</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45889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33411-2025</t>
        </is>
      </c>
      <c r="B12" s="1" t="n">
        <v>45839</v>
      </c>
      <c r="C12" s="1" t="n">
        <v>45889</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32951-2025</t>
        </is>
      </c>
      <c r="B13" s="1" t="n">
        <v>45839</v>
      </c>
      <c r="C13" s="1" t="n">
        <v>45889</v>
      </c>
      <c r="D13" t="inlineStr">
        <is>
          <t>STOCKHOLMS LÄN</t>
        </is>
      </c>
      <c r="E13" t="inlineStr">
        <is>
          <t>SALEM</t>
        </is>
      </c>
      <c r="G13" t="n">
        <v>2.6</v>
      </c>
      <c r="H13" t="n">
        <v>0</v>
      </c>
      <c r="I13" t="n">
        <v>0</v>
      </c>
      <c r="J13" t="n">
        <v>1</v>
      </c>
      <c r="K13" t="n">
        <v>0</v>
      </c>
      <c r="L13" t="n">
        <v>0</v>
      </c>
      <c r="M13" t="n">
        <v>0</v>
      </c>
      <c r="N13" t="n">
        <v>0</v>
      </c>
      <c r="O13" t="n">
        <v>1</v>
      </c>
      <c r="P13" t="n">
        <v>0</v>
      </c>
      <c r="Q13" t="n">
        <v>1</v>
      </c>
      <c r="R13" s="2" t="inlineStr">
        <is>
          <t>Etternässla</t>
        </is>
      </c>
      <c r="S13">
        <f>HYPERLINK("https://klasma.github.io/Logging_0128/artfynd/A 32951-2025 artfynd.xlsx", "A 32951-2025")</f>
        <v/>
      </c>
      <c r="T13">
        <f>HYPERLINK("https://klasma.github.io/Logging_0128/kartor/A 32951-2025 karta.png", "A 32951-2025")</f>
        <v/>
      </c>
      <c r="V13">
        <f>HYPERLINK("https://klasma.github.io/Logging_0128/klagomål/A 32951-2025 FSC-klagomål.docx", "A 32951-2025")</f>
        <v/>
      </c>
      <c r="W13">
        <f>HYPERLINK("https://klasma.github.io/Logging_0128/klagomålsmail/A 32951-2025 FSC-klagomål mail.docx", "A 32951-2025")</f>
        <v/>
      </c>
      <c r="X13">
        <f>HYPERLINK("https://klasma.github.io/Logging_0128/tillsyn/A 32951-2025 tillsynsbegäran.docx", "A 32951-2025")</f>
        <v/>
      </c>
      <c r="Y13">
        <f>HYPERLINK("https://klasma.github.io/Logging_0128/tillsynsmail/A 32951-2025 tillsynsbegäran mail.docx", "A 32951-2025")</f>
        <v/>
      </c>
    </row>
    <row r="14" ht="15" customHeight="1">
      <c r="A14" t="inlineStr">
        <is>
          <t>A 28838-2021</t>
        </is>
      </c>
      <c r="B14" s="1" t="n">
        <v>44357</v>
      </c>
      <c r="C14" s="1" t="n">
        <v>45889</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45889</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45889</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45889</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45889</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45889</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2990-2023</t>
        </is>
      </c>
      <c r="B20" s="1" t="n">
        <v>44945</v>
      </c>
      <c r="C20" s="1" t="n">
        <v>45889</v>
      </c>
      <c r="D20" t="inlineStr">
        <is>
          <t>STOCKHOLMS LÄN</t>
        </is>
      </c>
      <c r="E20" t="inlineStr">
        <is>
          <t>SALEM</t>
        </is>
      </c>
      <c r="F20" t="inlineStr">
        <is>
          <t>Kommuner</t>
        </is>
      </c>
      <c r="G20" t="n">
        <v>4.1</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45889</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8300-2024</t>
        </is>
      </c>
      <c r="B22" s="1" t="n">
        <v>45352.44717592592</v>
      </c>
      <c r="C22" s="1" t="n">
        <v>45889</v>
      </c>
      <c r="D22" t="inlineStr">
        <is>
          <t>STOCKHOLMS LÄN</t>
        </is>
      </c>
      <c r="E22" t="inlineStr">
        <is>
          <t>SALEM</t>
        </is>
      </c>
      <c r="F22" t="inlineStr">
        <is>
          <t>Kommuner</t>
        </is>
      </c>
      <c r="G22" t="n">
        <v>3.4</v>
      </c>
      <c r="H22" t="n">
        <v>0</v>
      </c>
      <c r="I22" t="n">
        <v>0</v>
      </c>
      <c r="J22" t="n">
        <v>0</v>
      </c>
      <c r="K22" t="n">
        <v>0</v>
      </c>
      <c r="L22" t="n">
        <v>0</v>
      </c>
      <c r="M22" t="n">
        <v>0</v>
      </c>
      <c r="N22" t="n">
        <v>0</v>
      </c>
      <c r="O22" t="n">
        <v>0</v>
      </c>
      <c r="P22" t="n">
        <v>0</v>
      </c>
      <c r="Q22" t="n">
        <v>0</v>
      </c>
      <c r="R22" s="2" t="inlineStr"/>
    </row>
    <row r="23" ht="15" customHeight="1">
      <c r="A23" t="inlineStr">
        <is>
          <t>A 46919-2023</t>
        </is>
      </c>
      <c r="B23" s="1" t="n">
        <v>45201</v>
      </c>
      <c r="C23" s="1" t="n">
        <v>45889</v>
      </c>
      <c r="D23" t="inlineStr">
        <is>
          <t>STOCKHOLMS LÄN</t>
        </is>
      </c>
      <c r="E23" t="inlineStr">
        <is>
          <t>SALEM</t>
        </is>
      </c>
      <c r="F23" t="inlineStr">
        <is>
          <t>Kommuner</t>
        </is>
      </c>
      <c r="G23" t="n">
        <v>1.3</v>
      </c>
      <c r="H23" t="n">
        <v>0</v>
      </c>
      <c r="I23" t="n">
        <v>0</v>
      </c>
      <c r="J23" t="n">
        <v>0</v>
      </c>
      <c r="K23" t="n">
        <v>0</v>
      </c>
      <c r="L23" t="n">
        <v>0</v>
      </c>
      <c r="M23" t="n">
        <v>0</v>
      </c>
      <c r="N23" t="n">
        <v>0</v>
      </c>
      <c r="O23" t="n">
        <v>0</v>
      </c>
      <c r="P23" t="n">
        <v>0</v>
      </c>
      <c r="Q23" t="n">
        <v>0</v>
      </c>
      <c r="R23" s="2" t="inlineStr"/>
    </row>
    <row r="24" ht="15" customHeight="1">
      <c r="A24" t="inlineStr">
        <is>
          <t>A 51720-2023</t>
        </is>
      </c>
      <c r="B24" s="1" t="n">
        <v>45222</v>
      </c>
      <c r="C24" s="1" t="n">
        <v>45889</v>
      </c>
      <c r="D24" t="inlineStr">
        <is>
          <t>STOCKHOLMS LÄN</t>
        </is>
      </c>
      <c r="E24" t="inlineStr">
        <is>
          <t>SALEM</t>
        </is>
      </c>
      <c r="G24" t="n">
        <v>0.4</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45889</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45889</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45889</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504-2023</t>
        </is>
      </c>
      <c r="B28" s="1" t="n">
        <v>44930</v>
      </c>
      <c r="C28" s="1" t="n">
        <v>45889</v>
      </c>
      <c r="D28" t="inlineStr">
        <is>
          <t>STOCKHOLMS LÄN</t>
        </is>
      </c>
      <c r="E28" t="inlineStr">
        <is>
          <t>SALEM</t>
        </is>
      </c>
      <c r="F28" t="inlineStr">
        <is>
          <t>Kommuner</t>
        </is>
      </c>
      <c r="G28" t="n">
        <v>2</v>
      </c>
      <c r="H28" t="n">
        <v>0</v>
      </c>
      <c r="I28" t="n">
        <v>0</v>
      </c>
      <c r="J28" t="n">
        <v>0</v>
      </c>
      <c r="K28" t="n">
        <v>0</v>
      </c>
      <c r="L28" t="n">
        <v>0</v>
      </c>
      <c r="M28" t="n">
        <v>0</v>
      </c>
      <c r="N28" t="n">
        <v>0</v>
      </c>
      <c r="O28" t="n">
        <v>0</v>
      </c>
      <c r="P28" t="n">
        <v>0</v>
      </c>
      <c r="Q28" t="n">
        <v>0</v>
      </c>
      <c r="R28" s="2" t="inlineStr"/>
    </row>
    <row r="29" ht="15" customHeight="1">
      <c r="A29" t="inlineStr">
        <is>
          <t>A 33246-2021</t>
        </is>
      </c>
      <c r="B29" s="1" t="n">
        <v>44377</v>
      </c>
      <c r="C29" s="1" t="n">
        <v>45889</v>
      </c>
      <c r="D29" t="inlineStr">
        <is>
          <t>STOCKHOLMS LÄN</t>
        </is>
      </c>
      <c r="E29" t="inlineStr">
        <is>
          <t>SALEM</t>
        </is>
      </c>
      <c r="G29" t="n">
        <v>3.4</v>
      </c>
      <c r="H29" t="n">
        <v>0</v>
      </c>
      <c r="I29" t="n">
        <v>0</v>
      </c>
      <c r="J29" t="n">
        <v>0</v>
      </c>
      <c r="K29" t="n">
        <v>0</v>
      </c>
      <c r="L29" t="n">
        <v>0</v>
      </c>
      <c r="M29" t="n">
        <v>0</v>
      </c>
      <c r="N29" t="n">
        <v>0</v>
      </c>
      <c r="O29" t="n">
        <v>0</v>
      </c>
      <c r="P29" t="n">
        <v>0</v>
      </c>
      <c r="Q29" t="n">
        <v>0</v>
      </c>
      <c r="R29" s="2" t="inlineStr"/>
    </row>
    <row r="30" ht="15" customHeight="1">
      <c r="A30" t="inlineStr">
        <is>
          <t>A 33262-2021</t>
        </is>
      </c>
      <c r="B30" s="1" t="n">
        <v>44377.35033564815</v>
      </c>
      <c r="C30" s="1" t="n">
        <v>45889</v>
      </c>
      <c r="D30" t="inlineStr">
        <is>
          <t>STOCKHOLMS LÄN</t>
        </is>
      </c>
      <c r="E30" t="inlineStr">
        <is>
          <t>SALEM</t>
        </is>
      </c>
      <c r="G30" t="n">
        <v>0.7</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45889</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45889</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45889</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45889</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45889</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45889</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45889</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45889</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45889</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45889</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45889</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45889</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45889</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45889</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45889</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45889</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45889</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45889</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45889</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45889</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45889</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33439-2025</t>
        </is>
      </c>
      <c r="B52" s="1" t="n">
        <v>45839</v>
      </c>
      <c r="C52" s="1" t="n">
        <v>45889</v>
      </c>
      <c r="D52" t="inlineStr">
        <is>
          <t>STOCKHOLMS LÄN</t>
        </is>
      </c>
      <c r="E52" t="inlineStr">
        <is>
          <t>SALEM</t>
        </is>
      </c>
      <c r="G52" t="n">
        <v>2.9</v>
      </c>
      <c r="H52" t="n">
        <v>0</v>
      </c>
      <c r="I52" t="n">
        <v>0</v>
      </c>
      <c r="J52" t="n">
        <v>0</v>
      </c>
      <c r="K52" t="n">
        <v>0</v>
      </c>
      <c r="L52" t="n">
        <v>0</v>
      </c>
      <c r="M52" t="n">
        <v>0</v>
      </c>
      <c r="N52" t="n">
        <v>0</v>
      </c>
      <c r="O52" t="n">
        <v>0</v>
      </c>
      <c r="P52" t="n">
        <v>0</v>
      </c>
      <c r="Q52" t="n">
        <v>0</v>
      </c>
      <c r="R52" s="2" t="inlineStr"/>
    </row>
    <row r="53" ht="15" customHeight="1">
      <c r="A53" t="inlineStr">
        <is>
          <t>A 33458-2025</t>
        </is>
      </c>
      <c r="B53" s="1" t="n">
        <v>45839</v>
      </c>
      <c r="C53" s="1" t="n">
        <v>45889</v>
      </c>
      <c r="D53" t="inlineStr">
        <is>
          <t>STOCKHOLMS LÄN</t>
        </is>
      </c>
      <c r="E53" t="inlineStr">
        <is>
          <t>SALEM</t>
        </is>
      </c>
      <c r="G53" t="n">
        <v>0.8</v>
      </c>
      <c r="H53" t="n">
        <v>0</v>
      </c>
      <c r="I53" t="n">
        <v>0</v>
      </c>
      <c r="J53" t="n">
        <v>0</v>
      </c>
      <c r="K53" t="n">
        <v>0</v>
      </c>
      <c r="L53" t="n">
        <v>0</v>
      </c>
      <c r="M53" t="n">
        <v>0</v>
      </c>
      <c r="N53" t="n">
        <v>0</v>
      </c>
      <c r="O53" t="n">
        <v>0</v>
      </c>
      <c r="P53" t="n">
        <v>0</v>
      </c>
      <c r="Q53" t="n">
        <v>0</v>
      </c>
      <c r="R53" s="2" t="inlineStr"/>
    </row>
    <row r="54" ht="15" customHeight="1">
      <c r="A54" t="inlineStr">
        <is>
          <t>A 33460-2025</t>
        </is>
      </c>
      <c r="B54" s="1" t="n">
        <v>45839</v>
      </c>
      <c r="C54" s="1" t="n">
        <v>45889</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33465-2025</t>
        </is>
      </c>
      <c r="B55" s="1" t="n">
        <v>45839</v>
      </c>
      <c r="C55" s="1" t="n">
        <v>45889</v>
      </c>
      <c r="D55" t="inlineStr">
        <is>
          <t>STOCKHOLMS LÄN</t>
        </is>
      </c>
      <c r="E55" t="inlineStr">
        <is>
          <t>SALEM</t>
        </is>
      </c>
      <c r="G55" t="n">
        <v>1.6</v>
      </c>
      <c r="H55" t="n">
        <v>0</v>
      </c>
      <c r="I55" t="n">
        <v>0</v>
      </c>
      <c r="J55" t="n">
        <v>0</v>
      </c>
      <c r="K55" t="n">
        <v>0</v>
      </c>
      <c r="L55" t="n">
        <v>0</v>
      </c>
      <c r="M55" t="n">
        <v>0</v>
      </c>
      <c r="N55" t="n">
        <v>0</v>
      </c>
      <c r="O55" t="n">
        <v>0</v>
      </c>
      <c r="P55" t="n">
        <v>0</v>
      </c>
      <c r="Q55" t="n">
        <v>0</v>
      </c>
      <c r="R55" s="2" t="inlineStr"/>
    </row>
    <row r="56" ht="15" customHeight="1">
      <c r="A56" t="inlineStr">
        <is>
          <t>A 32953-2025</t>
        </is>
      </c>
      <c r="B56" s="1" t="n">
        <v>45839</v>
      </c>
      <c r="C56" s="1" t="n">
        <v>45889</v>
      </c>
      <c r="D56" t="inlineStr">
        <is>
          <t>STOCKHOLMS LÄN</t>
        </is>
      </c>
      <c r="E56" t="inlineStr">
        <is>
          <t>SALEM</t>
        </is>
      </c>
      <c r="G56" t="n">
        <v>2.4</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45889</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c r="A58" t="inlineStr">
        <is>
          <t>A 9533-2024</t>
        </is>
      </c>
      <c r="B58" s="1" t="n">
        <v>45359.69105324074</v>
      </c>
      <c r="C58" s="1" t="n">
        <v>45889</v>
      </c>
      <c r="D58" t="inlineStr">
        <is>
          <t>STOCKHOLMS LÄN</t>
        </is>
      </c>
      <c r="E58" t="inlineStr">
        <is>
          <t>SALEM</t>
        </is>
      </c>
      <c r="F58" t="inlineStr">
        <is>
          <t>Kommuner</t>
        </is>
      </c>
      <c r="G58" t="n">
        <v>2.6</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2025-08-20T08:28:38Z</dcterms:created>
  <dcterms:modified xmlns:dcterms="http://purl.org/dc/terms/" xmlns:xsi="http://www.w3.org/2001/XMLSchema-instance" xsi:type="dcterms:W3CDTF">2025-08-20T08:28:38Z</dcterms:modified>
</cp:coreProperties>
</file>